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ir\Downloads\Gazelle Cup\"/>
    </mc:Choice>
  </mc:AlternateContent>
  <xr:revisionPtr revIDLastSave="0" documentId="13_ncr:1_{ABAF56D0-A046-44C2-B1E2-4868B8B1A9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ils" sheetId="2" r:id="rId1"/>
  </sheets>
  <definedNames>
    <definedName name="_xlnm._FilterDatabase" localSheetId="0" hidden="1">Details!$A$1:$L$173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U3" i="2" l="1" a="1"/>
  <c r="BU3" i="2" s="1"/>
  <c r="BQ3" i="2" a="1"/>
  <c r="BQ3" i="2" s="1"/>
  <c r="BN3" i="2" a="1"/>
  <c r="BN3" i="2" s="1"/>
  <c r="BK3" i="2" a="1"/>
  <c r="BK3" i="2" s="1"/>
  <c r="BH3" i="2" a="1"/>
  <c r="BH3" i="2" s="1"/>
  <c r="BE3" i="2" a="1"/>
  <c r="BE3" i="2" s="1"/>
  <c r="BB3" i="2" a="1"/>
  <c r="BB3" i="2" s="1"/>
  <c r="AY3" i="2" a="1"/>
  <c r="AY3" i="2" s="1"/>
  <c r="AV3" i="2"/>
  <c r="AV3" i="2" a="1"/>
  <c r="AS3" i="2" a="1"/>
  <c r="AS3" i="2" s="1"/>
  <c r="AP3" i="2" a="1"/>
  <c r="AP3" i="2" s="1"/>
  <c r="AM3" i="2" a="1"/>
  <c r="AM3" i="2" s="1"/>
  <c r="AG3" i="2" a="1"/>
  <c r="AG3" i="2" s="1"/>
  <c r="AD3" i="2" a="1"/>
  <c r="AD3" i="2" s="1"/>
  <c r="AA3" i="2" a="1"/>
  <c r="AA3" i="2" s="1"/>
  <c r="X3" i="2"/>
  <c r="X3" i="2" a="1"/>
  <c r="U3" i="2" a="1"/>
  <c r="U3" i="2" s="1"/>
  <c r="R3" i="2" a="1"/>
  <c r="R3" i="2" s="1"/>
  <c r="O3" i="2" a="1"/>
  <c r="O3" i="2" s="1"/>
  <c r="I3" i="2" a="1"/>
  <c r="I3" i="2" s="1"/>
  <c r="AC5" i="2"/>
  <c r="L3" i="2"/>
  <c r="L3" i="2" a="1"/>
  <c r="BM5" i="2" l="1"/>
  <c r="AX7" i="2"/>
  <c r="AR10" i="2"/>
  <c r="BD9" i="2"/>
  <c r="Z10" i="2"/>
  <c r="BP8" i="2" l="1"/>
  <c r="BP10" i="2" l="1"/>
  <c r="BP9" i="2"/>
  <c r="BM14" i="2"/>
  <c r="BJ8" i="2"/>
  <c r="H9" i="2"/>
  <c r="BM16" i="2"/>
  <c r="BJ9" i="2"/>
  <c r="Q13" i="2"/>
  <c r="H10" i="2"/>
  <c r="BP11" i="2"/>
  <c r="BP12" i="2"/>
  <c r="BG15" i="2"/>
  <c r="Z25" i="2"/>
  <c r="Z24" i="2"/>
  <c r="BP19" i="2"/>
  <c r="BJ15" i="2"/>
  <c r="BG16" i="2"/>
  <c r="BM25" i="2"/>
  <c r="BJ19" i="2"/>
  <c r="BJ25" i="2" l="1"/>
  <c r="BD31" i="2"/>
  <c r="H19" i="2"/>
  <c r="BT24" i="2"/>
  <c r="BA44" i="2"/>
  <c r="BA43" i="2"/>
  <c r="BA42" i="2"/>
  <c r="BP32" i="2" l="1"/>
  <c r="BJ34" i="2"/>
  <c r="BD40" i="2"/>
  <c r="C35" i="2" l="1"/>
  <c r="C36" i="2" s="1"/>
  <c r="BA51" i="2"/>
  <c r="AC13" i="2"/>
  <c r="AC12" i="2"/>
  <c r="W33" i="2"/>
  <c r="W32" i="2"/>
  <c r="BM42" i="2"/>
  <c r="BD45" i="2"/>
  <c r="AU43" i="2"/>
  <c r="AC15" i="2"/>
  <c r="BP39" i="2" l="1"/>
  <c r="BJ40" i="2"/>
  <c r="AR46" i="2"/>
  <c r="AL46" i="2"/>
  <c r="Z56" i="2"/>
  <c r="AL48" i="2" l="1"/>
  <c r="K30" i="2"/>
  <c r="K29" i="2"/>
  <c r="BP41" i="2" l="1"/>
  <c r="BT31" i="2" l="1"/>
  <c r="BP42" i="2"/>
  <c r="BM47" i="2"/>
  <c r="Z63" i="2"/>
  <c r="BD53" i="2"/>
  <c r="Q58" i="2"/>
  <c r="BP44" i="2" l="1"/>
  <c r="AR54" i="2"/>
  <c r="AL50" i="2"/>
  <c r="Z66" i="2"/>
  <c r="K32" i="2"/>
  <c r="BJ49" i="2"/>
  <c r="AI16" i="2"/>
  <c r="AJ3" i="2" s="1" a="1"/>
  <c r="AJ3" i="2" s="1"/>
  <c r="AC18" i="2"/>
  <c r="N56" i="2"/>
  <c r="BP47" i="2" l="1"/>
  <c r="AU52" i="2"/>
  <c r="K34" i="2"/>
  <c r="BT35" i="2"/>
  <c r="AI18" i="2"/>
  <c r="AR59" i="2" l="1"/>
  <c r="W42" i="2"/>
  <c r="T11" i="2"/>
  <c r="B22" i="2" l="1"/>
  <c r="BT37" i="2" l="1"/>
  <c r="BP50" i="2"/>
  <c r="BP51" i="2"/>
  <c r="Q64" i="2" l="1"/>
  <c r="N60" i="2"/>
  <c r="H33" i="2"/>
  <c r="BP54" i="2" l="1"/>
  <c r="BP53" i="2"/>
  <c r="BJ56" i="2"/>
  <c r="AX33" i="2"/>
  <c r="AF19" i="2"/>
  <c r="AF18" i="2"/>
  <c r="BA72" i="2"/>
  <c r="BJ58" i="2"/>
  <c r="H37" i="2" l="1"/>
  <c r="T15" i="2"/>
  <c r="BA80" i="2"/>
  <c r="BD79" i="2" l="1"/>
  <c r="BD78" i="2"/>
  <c r="BP64" i="2"/>
  <c r="BP65" i="2"/>
  <c r="BJ66" i="2"/>
  <c r="AI23" i="2"/>
  <c r="B8" i="2" l="1"/>
  <c r="B13" i="2"/>
  <c r="B10" i="2"/>
  <c r="B6" i="2"/>
  <c r="B17" i="2"/>
  <c r="B4" i="2"/>
  <c r="B3" i="2"/>
  <c r="B5" i="2"/>
  <c r="B14" i="2"/>
  <c r="B9" i="2"/>
  <c r="B15" i="2"/>
  <c r="B20" i="2"/>
  <c r="BP68" i="2"/>
  <c r="BJ69" i="2"/>
  <c r="BJ68" i="2"/>
  <c r="BD80" i="2"/>
  <c r="AC28" i="2"/>
  <c r="D4" i="2" l="1"/>
  <c r="D3" i="2"/>
  <c r="B21" i="2"/>
  <c r="B11" i="2"/>
  <c r="BD82" i="2"/>
  <c r="BD83" i="2"/>
  <c r="BA97" i="2"/>
  <c r="BA95" i="2"/>
  <c r="BD84" i="2"/>
  <c r="C4" i="2" l="1"/>
  <c r="D22" i="2"/>
  <c r="BA103" i="2"/>
  <c r="AF27" i="2"/>
  <c r="Q87" i="2"/>
  <c r="N92" i="2"/>
  <c r="K45" i="2"/>
  <c r="BP76" i="2"/>
  <c r="BM77" i="2"/>
  <c r="BJ75" i="2"/>
  <c r="BD88" i="2"/>
  <c r="AF28" i="2"/>
  <c r="Z103" i="2"/>
  <c r="T21" i="2"/>
  <c r="N93" i="2"/>
  <c r="H55" i="2"/>
  <c r="H56" i="2"/>
  <c r="B12" i="2" l="1"/>
  <c r="B7" i="2"/>
  <c r="D6" i="2" s="1"/>
  <c r="C6" i="2" s="1"/>
  <c r="BT60" i="2"/>
  <c r="BP77" i="2"/>
  <c r="BM79" i="2"/>
  <c r="BM78" i="2"/>
  <c r="BJ76" i="2"/>
  <c r="BG37" i="2"/>
  <c r="BD89" i="2"/>
  <c r="Z104" i="2"/>
  <c r="T22" i="2"/>
  <c r="Q88" i="2"/>
  <c r="N95" i="2"/>
  <c r="N94" i="2"/>
  <c r="K46" i="2"/>
  <c r="H57" i="2"/>
  <c r="BP78" i="2"/>
  <c r="BM80" i="2"/>
  <c r="BA104" i="2"/>
  <c r="AU71" i="2"/>
  <c r="AR81" i="2"/>
  <c r="Z105" i="2"/>
  <c r="N97" i="2"/>
  <c r="N96" i="2"/>
  <c r="K47" i="2"/>
  <c r="H59" i="2"/>
  <c r="BP80" i="2"/>
  <c r="BP79" i="2"/>
  <c r="BM82" i="2"/>
  <c r="BM81" i="2"/>
  <c r="BG38" i="2"/>
  <c r="BD91" i="2"/>
  <c r="BD90" i="2"/>
  <c r="AX45" i="2"/>
  <c r="AL83" i="2"/>
  <c r="T24" i="2"/>
  <c r="Q90" i="2"/>
  <c r="Q89" i="2"/>
  <c r="N99" i="2"/>
  <c r="N98" i="2"/>
  <c r="D8" i="2" l="1"/>
  <c r="B19" i="2"/>
  <c r="H60" i="2"/>
  <c r="D5" i="2" l="1"/>
  <c r="C5" i="2" s="1"/>
  <c r="D11" i="2"/>
  <c r="C11" i="2" s="1"/>
  <c r="BJ83" i="2"/>
  <c r="BD98" i="2" l="1"/>
  <c r="BT65" i="2" l="1"/>
  <c r="BP87" i="2"/>
  <c r="BM88" i="2"/>
  <c r="BG42" i="2"/>
  <c r="BD100" i="2"/>
  <c r="AO53" i="2"/>
  <c r="B16" i="2" s="1"/>
  <c r="D14" i="2" s="1"/>
  <c r="C14" i="2" s="1"/>
  <c r="Z112" i="2"/>
  <c r="H62" i="2"/>
  <c r="H64" i="2"/>
  <c r="BM90" i="2"/>
  <c r="BA114" i="2"/>
  <c r="D7" i="2" l="1"/>
  <c r="C8" i="2" s="1"/>
  <c r="D16" i="2"/>
  <c r="D10" i="2"/>
  <c r="D9" i="2"/>
  <c r="C9" i="2" s="1"/>
  <c r="D13" i="2"/>
  <c r="D15" i="2"/>
  <c r="C15" i="2" s="1"/>
  <c r="D21" i="2"/>
  <c r="D12" i="2"/>
  <c r="C22" i="2"/>
  <c r="B18" i="2"/>
  <c r="BA118" i="2"/>
  <c r="BA117" i="2"/>
  <c r="C7" i="2" l="1"/>
  <c r="C12" i="2"/>
  <c r="C13" i="2"/>
  <c r="C10" i="2"/>
  <c r="D19" i="2"/>
  <c r="C16" i="2" s="1"/>
  <c r="D20" i="2"/>
  <c r="D18" i="2"/>
  <c r="C21" i="2"/>
  <c r="BT70" i="2"/>
  <c r="Z122" i="2"/>
  <c r="N110" i="2"/>
  <c r="AX52" i="2"/>
  <c r="C20" i="2" l="1"/>
  <c r="C18" i="2"/>
  <c r="C19" i="2"/>
  <c r="BP92" i="2"/>
  <c r="BP93" i="2" l="1"/>
  <c r="AF34" i="2"/>
  <c r="H71" i="2"/>
  <c r="BP96" i="2" l="1"/>
  <c r="BM97" i="2"/>
  <c r="BJ96" i="2"/>
  <c r="K56" i="2"/>
  <c r="BT72" i="2" l="1"/>
  <c r="BA124" i="2"/>
  <c r="AX55" i="2"/>
  <c r="AF36" i="2"/>
  <c r="AC39" i="2"/>
  <c r="Z128" i="2"/>
  <c r="K57" i="2"/>
  <c r="BP100" i="2" l="1"/>
  <c r="BT77" i="2" l="1"/>
  <c r="BM101" i="2"/>
  <c r="AC41" i="2"/>
  <c r="Z134" i="2"/>
  <c r="K59" i="2"/>
  <c r="AC43" i="2" l="1"/>
  <c r="Z141" i="2" l="1"/>
  <c r="N137" i="2" l="1"/>
  <c r="BP106" i="2"/>
  <c r="BJ105" i="2"/>
  <c r="AU90" i="2"/>
  <c r="AC46" i="2" l="1"/>
  <c r="Z140" i="2"/>
  <c r="BM107" i="2" l="1"/>
  <c r="BD130" i="2"/>
  <c r="BD129" i="2"/>
  <c r="AU91" i="2"/>
  <c r="AR103" i="2"/>
  <c r="AL111" i="2"/>
  <c r="AC47" i="2"/>
  <c r="Q122" i="2"/>
  <c r="H85" i="2"/>
  <c r="H86" i="2"/>
  <c r="BT81" i="2" l="1"/>
  <c r="BM108" i="2"/>
  <c r="BG50" i="2"/>
  <c r="AX63" i="2"/>
  <c r="AR104" i="2"/>
  <c r="AF42" i="2"/>
  <c r="Z143" i="2"/>
  <c r="T33" i="2"/>
  <c r="Q124" i="2"/>
  <c r="N129" i="2"/>
  <c r="H88" i="2"/>
  <c r="BT82" i="2" l="1"/>
  <c r="BP110" i="2"/>
  <c r="BM109" i="2"/>
  <c r="BJ108" i="2"/>
  <c r="BD131" i="2"/>
  <c r="AU93" i="2"/>
  <c r="AL114" i="2"/>
  <c r="AF43" i="2"/>
  <c r="Z145" i="2"/>
  <c r="Q126" i="2"/>
  <c r="Q125" i="2"/>
  <c r="H90" i="2"/>
  <c r="H89" i="2"/>
  <c r="BP111" i="2" l="1"/>
  <c r="AU95" i="2"/>
  <c r="AR106" i="2"/>
  <c r="AI52" i="2"/>
  <c r="BG51" i="2" l="1"/>
  <c r="AU96" i="2"/>
  <c r="AR107" i="2"/>
  <c r="AI53" i="2"/>
  <c r="K65" i="2"/>
  <c r="BM111" i="2" l="1"/>
  <c r="BJ113" i="2"/>
  <c r="BA141" i="2"/>
  <c r="AO78" i="2"/>
  <c r="AO76" i="2"/>
  <c r="AL120" i="2"/>
  <c r="AI54" i="2"/>
  <c r="AC50" i="2"/>
  <c r="Z151" i="2"/>
  <c r="Q130" i="2"/>
  <c r="N135" i="2"/>
  <c r="K66" i="2"/>
  <c r="BP115" i="2" l="1"/>
  <c r="BG55" i="2"/>
  <c r="BA144" i="2"/>
  <c r="AO80" i="2"/>
  <c r="AL122" i="2"/>
  <c r="AI57" i="2"/>
  <c r="N139" i="2"/>
  <c r="K67" i="2"/>
  <c r="K68" i="2"/>
  <c r="BP120" i="2" l="1"/>
  <c r="H95" i="2" l="1"/>
  <c r="BP122" i="2" l="1"/>
  <c r="BJ121" i="2"/>
  <c r="BA150" i="2"/>
  <c r="N150" i="2" l="1"/>
  <c r="T37" i="2"/>
  <c r="BP123" i="2" l="1"/>
  <c r="BA154" i="2"/>
  <c r="N151" i="2"/>
  <c r="BM118" i="2" l="1"/>
  <c r="BD141" i="2"/>
  <c r="H100" i="2" l="1"/>
  <c r="BP127" i="2" l="1"/>
  <c r="AI62" i="2"/>
  <c r="N153" i="2"/>
  <c r="K80" i="2"/>
  <c r="BP129" i="2" l="1"/>
  <c r="H106" i="2" l="1"/>
  <c r="AI66" i="2" l="1"/>
  <c r="T40" i="2"/>
  <c r="H107" i="2"/>
  <c r="H111" i="2" l="1"/>
  <c r="N170" i="2" l="1"/>
  <c r="H115" i="2"/>
  <c r="H117" i="2" l="1"/>
  <c r="H116" i="2"/>
  <c r="BJ131" i="2" l="1"/>
  <c r="BD146" i="2"/>
  <c r="AL149" i="2"/>
  <c r="Z172" i="2"/>
  <c r="H118" i="2"/>
  <c r="BM124" i="2" l="1"/>
  <c r="BJ132" i="2"/>
  <c r="BD147" i="2"/>
  <c r="AI69" i="2"/>
  <c r="AC60" i="2"/>
  <c r="Z173" i="2"/>
  <c r="T46" i="2"/>
  <c r="H119" i="2"/>
  <c r="BP137" i="2" l="1"/>
  <c r="BJ133" i="2"/>
  <c r="T47" i="2"/>
  <c r="N177" i="2"/>
  <c r="BP139" i="2" l="1"/>
  <c r="BP138" i="2"/>
  <c r="BM126" i="2"/>
  <c r="BM125" i="2"/>
  <c r="BJ135" i="2"/>
  <c r="BD149" i="2"/>
  <c r="Z175" i="2"/>
  <c r="K91" i="2"/>
  <c r="H121" i="2"/>
  <c r="H122" i="2"/>
  <c r="BP140" i="2" l="1"/>
  <c r="BJ136" i="2"/>
  <c r="BD150" i="2"/>
  <c r="Z177" i="2"/>
  <c r="N180" i="2"/>
  <c r="H123" i="2"/>
  <c r="BM128" i="2" l="1"/>
  <c r="BD151" i="2"/>
  <c r="H124" i="2"/>
  <c r="BJ141" i="2" l="1"/>
  <c r="BP147" i="2" l="1"/>
  <c r="BM141" i="2" l="1"/>
  <c r="BM140" i="2"/>
  <c r="BD163" i="2"/>
  <c r="K96" i="2"/>
  <c r="BP155" i="2" l="1"/>
  <c r="BJ151" i="2"/>
  <c r="AL162" i="2"/>
  <c r="BP157" i="2" l="1"/>
  <c r="BM143" i="2"/>
  <c r="BD164" i="2"/>
  <c r="AI79" i="2"/>
  <c r="BP158" i="2" l="1"/>
  <c r="BD166" i="2"/>
  <c r="AI81" i="2"/>
  <c r="BP160" i="2" l="1"/>
  <c r="BD168" i="2"/>
  <c r="AI82" i="2"/>
  <c r="H145" i="2"/>
  <c r="BM144" i="2" l="1"/>
  <c r="AR144" i="2"/>
  <c r="AC69" i="2"/>
  <c r="H147" i="2"/>
  <c r="H146" i="2"/>
  <c r="BP162" i="2" l="1"/>
  <c r="BM145" i="2"/>
  <c r="BA182" i="2"/>
  <c r="BJ159" i="2"/>
  <c r="BJ160" i="2"/>
  <c r="Z201" i="2"/>
  <c r="F3" i="2" l="1"/>
  <c r="E3" i="2"/>
  <c r="BP163" i="2"/>
  <c r="BJ161" i="2"/>
  <c r="H149" i="2" l="1"/>
  <c r="BM146" i="2" l="1"/>
  <c r="BD170" i="2"/>
  <c r="AX79" i="2"/>
  <c r="AX78" i="2"/>
  <c r="Z203" i="2"/>
  <c r="BM149" i="2" l="1"/>
  <c r="BG77" i="2"/>
  <c r="BD171" i="2"/>
  <c r="BM151" i="2" l="1"/>
  <c r="AI93" i="2"/>
  <c r="BT106" i="2" l="1"/>
  <c r="BD172" i="2"/>
  <c r="Z207" i="2"/>
  <c r="T57" i="2"/>
  <c r="BT107" i="2" l="1"/>
  <c r="BM152" i="2"/>
  <c r="BJ170" i="2"/>
  <c r="BJ169" i="2"/>
  <c r="BG78" i="2"/>
  <c r="Q167" i="2"/>
  <c r="N213" i="2"/>
  <c r="H155" i="2" l="1"/>
  <c r="H157" i="2" l="1"/>
  <c r="BD174" i="2"/>
  <c r="Z212" i="2"/>
  <c r="BP171" i="2"/>
  <c r="BM153" i="2"/>
  <c r="BG80" i="2"/>
  <c r="AI95" i="2"/>
  <c r="Z213" i="2"/>
  <c r="BP177" i="2" l="1"/>
  <c r="BP179" i="2"/>
  <c r="BP184" i="2"/>
  <c r="BP185" i="2"/>
  <c r="BJ176" i="2"/>
  <c r="BJ182" i="2"/>
  <c r="BJ183" i="2"/>
  <c r="BJ186" i="2"/>
  <c r="T62" i="2"/>
  <c r="T64" i="2"/>
  <c r="T65" i="2"/>
  <c r="T71" i="2"/>
  <c r="T73" i="2"/>
  <c r="BG93" i="2"/>
  <c r="Z227" i="2"/>
  <c r="Q185" i="2"/>
  <c r="K127" i="2"/>
  <c r="H164" i="2"/>
  <c r="H165" i="2"/>
  <c r="H166" i="2"/>
  <c r="H167" i="2"/>
  <c r="H168" i="2"/>
  <c r="AC74" i="2" l="1"/>
  <c r="AC80" i="2"/>
  <c r="BT121" i="2"/>
  <c r="BT123" i="2"/>
  <c r="AX85" i="2" l="1"/>
  <c r="AX88" i="2"/>
  <c r="AX89" i="2"/>
  <c r="F24" i="2" l="1"/>
  <c r="E24" i="2"/>
  <c r="F23" i="2" l="1"/>
  <c r="E23" i="2"/>
  <c r="E8" i="2"/>
  <c r="F8" i="2"/>
  <c r="F6" i="2"/>
  <c r="E6" i="2"/>
  <c r="F17" i="2"/>
  <c r="E17" i="2" l="1"/>
  <c r="F15" i="2"/>
  <c r="E15" i="2"/>
  <c r="F7" i="2" l="1"/>
  <c r="E7" i="2"/>
  <c r="B23" i="2"/>
  <c r="D23" i="2" l="1"/>
  <c r="C23" i="2" s="1"/>
  <c r="D17" i="2"/>
  <c r="C17" i="2" s="1"/>
  <c r="F18" i="2"/>
  <c r="E18" i="2"/>
  <c r="F4" i="2"/>
  <c r="E4" i="2"/>
  <c r="F10" i="2"/>
  <c r="E10" i="2"/>
  <c r="F19" i="2"/>
  <c r="E19" i="2"/>
  <c r="F11" i="2"/>
  <c r="E11" i="2"/>
  <c r="F20" i="2"/>
  <c r="E20" i="2"/>
  <c r="F13" i="2"/>
  <c r="E13" i="2"/>
  <c r="F14" i="2"/>
  <c r="E14" i="2"/>
  <c r="F21" i="2"/>
  <c r="E21" i="2"/>
  <c r="F22" i="2"/>
  <c r="E22" i="2"/>
  <c r="F12" i="2"/>
  <c r="E12" i="2"/>
  <c r="F9" i="2"/>
  <c r="E9" i="2"/>
  <c r="F16" i="2"/>
  <c r="E16" i="2"/>
  <c r="F5" i="2"/>
  <c r="E5" i="2"/>
  <c r="F25" i="2"/>
  <c r="E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<sst xmlns="http://schemas.openxmlformats.org/spreadsheetml/2006/main" count="278" uniqueCount="138">
  <si>
    <t>Handicap</t>
  </si>
  <si>
    <t>Poky</t>
  </si>
  <si>
    <t>Luvy</t>
  </si>
  <si>
    <t>Bharat</t>
  </si>
  <si>
    <t>Sikki</t>
  </si>
  <si>
    <t>Jaideep</t>
  </si>
  <si>
    <t>Jaivi</t>
  </si>
  <si>
    <t>Anuj</t>
  </si>
  <si>
    <t>Scores</t>
  </si>
  <si>
    <t>Sam</t>
  </si>
  <si>
    <t>Pran</t>
  </si>
  <si>
    <t>Gaurav</t>
  </si>
  <si>
    <t>Vishal</t>
  </si>
  <si>
    <t>Vijit</t>
  </si>
  <si>
    <t xml:space="preserve"> </t>
  </si>
  <si>
    <t>Ashu Jain</t>
  </si>
  <si>
    <t>Nutty</t>
  </si>
  <si>
    <t>Kartik B'ram</t>
  </si>
  <si>
    <t>Ashu B'ram</t>
  </si>
  <si>
    <t>Kartk B'ram</t>
  </si>
  <si>
    <t>Name</t>
  </si>
  <si>
    <t>Formula for adjusting scores at non Delhi courses</t>
  </si>
  <si>
    <t>Actual Score</t>
  </si>
  <si>
    <t>Course Rating</t>
  </si>
  <si>
    <t>Slope Rating</t>
  </si>
  <si>
    <t>DGC Slope Rating</t>
  </si>
  <si>
    <t>Adjusted Handicap</t>
  </si>
  <si>
    <t>Rounded</t>
  </si>
  <si>
    <t>Red Mountain</t>
  </si>
  <si>
    <t>128 / 70.4</t>
  </si>
  <si>
    <t>Loch Palm</t>
  </si>
  <si>
    <t>130 / 70.9</t>
  </si>
  <si>
    <t>DLF</t>
  </si>
  <si>
    <t>139 / 73.7</t>
  </si>
  <si>
    <t>Srinagar</t>
  </si>
  <si>
    <t>121 / 70.7</t>
  </si>
  <si>
    <t>Oxford Pune</t>
  </si>
  <si>
    <t>125 / 70.2</t>
  </si>
  <si>
    <t>Adjustments</t>
  </si>
  <si>
    <t>ITC Black tees</t>
  </si>
  <si>
    <t>+10%</t>
  </si>
  <si>
    <t>JP Black tees</t>
  </si>
  <si>
    <t>+20% (min. 2 strokes)</t>
  </si>
  <si>
    <t>Prestige Bangalore</t>
  </si>
  <si>
    <t>135 / 71.1</t>
  </si>
  <si>
    <t>@80%</t>
  </si>
  <si>
    <t>Noida</t>
  </si>
  <si>
    <t>@90%</t>
  </si>
  <si>
    <t>DGC Black tees</t>
  </si>
  <si>
    <t>Biku</t>
  </si>
  <si>
    <t>Lado Blue tees</t>
  </si>
  <si>
    <t>Lado Black tees</t>
  </si>
  <si>
    <t>130 / 73.5</t>
  </si>
  <si>
    <t>DGC Blue tees</t>
  </si>
  <si>
    <t>122.7 / 72.1</t>
  </si>
  <si>
    <t>Centurion Hertfordshire Silver Tees</t>
  </si>
  <si>
    <t>137 / 73.5</t>
  </si>
  <si>
    <t>Brocket Hall Palmerston White Tees</t>
  </si>
  <si>
    <t>131 / 72.6</t>
  </si>
  <si>
    <t>Wentworth West White Tees</t>
  </si>
  <si>
    <t>151 / 76</t>
  </si>
  <si>
    <t>132 / 70.8</t>
  </si>
  <si>
    <t>Shire London Emerald Tees</t>
  </si>
  <si>
    <t>101.9 / 74.9</t>
  </si>
  <si>
    <t>Wentworth East White Tees Par 73</t>
  </si>
  <si>
    <t>148 / 74.2</t>
  </si>
  <si>
    <t>Wentworth West Yellow Tees Par 71</t>
  </si>
  <si>
    <t>ITC Yellow tees</t>
  </si>
  <si>
    <t>Wentworth Edinburgh White Tees Par 72</t>
  </si>
  <si>
    <t>139 / 75</t>
  </si>
  <si>
    <t>Royal Calcutta White Tees</t>
  </si>
  <si>
    <t>131 / 73.3</t>
  </si>
  <si>
    <t>Airforce</t>
  </si>
  <si>
    <t>+20%</t>
  </si>
  <si>
    <t>The Grove Silver Tees</t>
  </si>
  <si>
    <t>March 27 - JP Yellow</t>
  </si>
  <si>
    <t>March 5 - DGC Blue</t>
  </si>
  <si>
    <t>Feb 22 - DGC Blue</t>
  </si>
  <si>
    <t>Feb 8 - DGC Blue</t>
  </si>
  <si>
    <t>April 3 - DGC Blue</t>
  </si>
  <si>
    <t>87 Feb 6 - ITC Blue @ +10%</t>
  </si>
  <si>
    <t>90 on Feb 4 - DLF Blue @ 80%</t>
  </si>
  <si>
    <t>89 on Feb 20 - DLF Blue @ 80%</t>
  </si>
  <si>
    <t>91 on  Feb 12 - JP Yellows @ +10%</t>
  </si>
  <si>
    <t>Feb 16 - DGC Blue</t>
  </si>
  <si>
    <t>Feb 26 - DGC Blue</t>
  </si>
  <si>
    <t>March 1 - DGC Blue</t>
  </si>
  <si>
    <t>March 4 - DGC Blue</t>
  </si>
  <si>
    <t>March 12 - JP Yellow</t>
  </si>
  <si>
    <t>March 20 - JP Yellow</t>
  </si>
  <si>
    <t>March 30 - DGC Blue</t>
  </si>
  <si>
    <t>April 1 - DGC Blue</t>
  </si>
  <si>
    <t>March 22 - Lado Black</t>
  </si>
  <si>
    <t>March 15 - Lado Black</t>
  </si>
  <si>
    <t>Sunningdale New White Tees</t>
  </si>
  <si>
    <t>133 / 71.7</t>
  </si>
  <si>
    <t>135 / 72.9</t>
  </si>
  <si>
    <t>Wentworth East Yellow Tees Par 73</t>
  </si>
  <si>
    <t>129 / 69.5</t>
  </si>
  <si>
    <t>Wentworth Edinburgh Yellow Tees Par 72</t>
  </si>
  <si>
    <t>DGC Course Rating</t>
  </si>
  <si>
    <t>dgc blacks</t>
  </si>
  <si>
    <t>adjusted down by 20% (minimum 2 strokes)</t>
  </si>
  <si>
    <t>itc gold</t>
  </si>
  <si>
    <t>adjusted up by 10% (minimum one stroke)</t>
  </si>
  <si>
    <t>dlf (blue)</t>
  </si>
  <si>
    <t>dlf (white</t>
  </si>
  <si>
    <t>oxford pune</t>
  </si>
  <si>
    <t>prestige</t>
  </si>
  <si>
    <t>@80% min 2 strokes</t>
  </si>
  <si>
    <t>Raul</t>
  </si>
  <si>
    <t>Rishab</t>
  </si>
  <si>
    <t>Utkarsh</t>
  </si>
  <si>
    <t>Imran</t>
  </si>
  <si>
    <t>DLF Blues</t>
  </si>
  <si>
    <t>DLF Whites</t>
  </si>
  <si>
    <t>JP Gold tees</t>
  </si>
  <si>
    <t>Same as DGC Blues</t>
  </si>
  <si>
    <t>+10% or min. 1 stroke</t>
  </si>
  <si>
    <t>@80% min. 2 strokes</t>
  </si>
  <si>
    <t>+20% min. 2 strokes</t>
  </si>
  <si>
    <t>+10% min. 1 stroke</t>
  </si>
  <si>
    <t>ITC Blue tees</t>
  </si>
  <si>
    <t>+20% or min. 2 strokes</t>
  </si>
  <si>
    <t>DGC (9A Blues+9B)</t>
  </si>
  <si>
    <t>DGC (9A Blacks+9B)</t>
  </si>
  <si>
    <t>+30% (min. 3 strokes)</t>
  </si>
  <si>
    <t>9B Stroking</t>
  </si>
  <si>
    <t>A</t>
  </si>
  <si>
    <t>B</t>
  </si>
  <si>
    <t>C</t>
  </si>
  <si>
    <t>D</t>
  </si>
  <si>
    <t>A Course Stroking - Singles 9A</t>
  </si>
  <si>
    <r>
      <t xml:space="preserve">A Course Stroking - </t>
    </r>
    <r>
      <rPr>
        <b/>
        <sz val="11"/>
        <color rgb="FF0070C0"/>
        <rFont val="Arial"/>
        <family val="2"/>
      </rPr>
      <t>Singles</t>
    </r>
  </si>
  <si>
    <r>
      <t xml:space="preserve">A Course Stroking - </t>
    </r>
    <r>
      <rPr>
        <b/>
        <sz val="11"/>
        <color rgb="FF0070C0"/>
        <rFont val="Arial"/>
        <family val="2"/>
      </rPr>
      <t>Fourball</t>
    </r>
  </si>
  <si>
    <t>DLF Blacks</t>
  </si>
  <si>
    <t>@70% min. 3 strokes</t>
  </si>
  <si>
    <t>Gaggy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</si>
</sst>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_-* #,##0_-;\-* #,##0_-;_-* &quot;-&quot;??_-;_-@_-"/>
    <numFmt numFmtId="167" formatCode="#,##0.00;\(#,##0.00\)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" fillId="0" borderId="0" applyFont="0" applyFill="0" applyBorder="0" applyAlignment="0" applyProtection="0"/>
    <xf numFmtId="0" fontId="1" fillId="0" borderId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2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2" fontId="3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" fontId="7" fillId="3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2" fontId="3" fillId="0" borderId="0" xfId="0" quotePrefix="1" applyNumberFormat="1" applyFont="1" applyAlignment="1">
      <alignment horizontal="left" vertical="center"/>
    </xf>
    <xf numFmtId="2" fontId="3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vertical="center" wrapText="1"/>
    </xf>
    <xf numFmtId="0" fontId="7" fillId="3" borderId="0" xfId="0" applyFont="1" applyFill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5">
    <cellStyle name="Comma" xfId="1" builtinId="3"/>
    <cellStyle name="Comma 2" xfId="3" xr:uid="{00000000-0005-0000-0000-000030000000}"/>
    <cellStyle name="Comma 3" xfId="4" xr:uid="{F36DDA19-E635-4A5D-B328-2B2E4FD1DCBA}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FF00"/>
      <rgbColor rgb="00010000"/>
      <rgbColor rgb="0000CCF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64"/>
  <sheetViews>
    <sheetView tabSelected="1" zoomScaleNormal="100" workbookViewId="0">
      <selection activeCell="G25" sqref="G25"/>
    </sheetView>
  </sheetViews>
  <sheetFormatPr defaultColWidth="8.86328125" defaultRowHeight="12" customHeight="1" x14ac:dyDescent="0.35"/>
  <cols>
    <col min="1" max="1" width="18.53125" style="1" customWidth="1"/>
    <col min="2" max="4" width="10.86328125" style="31" customWidth="1"/>
    <col min="5" max="5" width="10.86328125" style="31" hidden="1" customWidth="1"/>
    <col min="6" max="6" width="12.3984375" style="31" hidden="1" customWidth="1"/>
    <col min="7" max="7" width="10.9296875" style="21" customWidth="1"/>
    <col min="8" max="8" width="8.86328125" style="38" customWidth="1"/>
    <col min="9" max="9" width="9.796875" style="38" customWidth="1"/>
    <col min="10" max="10" width="1.53125" style="38" customWidth="1"/>
    <col min="11" max="11" width="8.86328125" style="38" customWidth="1"/>
    <col min="12" max="12" width="9.796875" style="38" customWidth="1"/>
    <col min="13" max="13" width="1.53125" style="38" customWidth="1"/>
    <col min="14" max="14" width="8.86328125" style="38"/>
    <col min="15" max="15" width="9.796875" style="38" customWidth="1"/>
    <col min="16" max="16" width="1.53125" style="38" customWidth="1"/>
    <col min="17" max="17" width="8.86328125" style="38"/>
    <col min="18" max="18" width="9.796875" style="38" customWidth="1"/>
    <col min="19" max="19" width="1.53125" style="38" customWidth="1"/>
    <col min="20" max="20" width="8.86328125" style="38" customWidth="1"/>
    <col min="21" max="21" width="9.796875" style="38" customWidth="1"/>
    <col min="22" max="22" width="1.53125" style="38" customWidth="1"/>
    <col min="23" max="24" width="8.86328125" style="1" customWidth="1"/>
    <col min="25" max="25" width="1.53125" style="1" customWidth="1"/>
    <col min="26" max="26" width="8.86328125" style="38" customWidth="1"/>
    <col min="27" max="27" width="9.796875" style="38" customWidth="1"/>
    <col min="28" max="28" width="1.53125" style="38" customWidth="1"/>
    <col min="29" max="29" width="8.86328125" style="38" customWidth="1"/>
    <col min="30" max="30" width="9.796875" style="38" customWidth="1"/>
    <col min="31" max="31" width="1.53125" style="38" customWidth="1"/>
    <col min="32" max="32" width="8.86328125" style="38" customWidth="1"/>
    <col min="33" max="33" width="9.796875" style="38" customWidth="1"/>
    <col min="34" max="34" width="1.53125" style="38" customWidth="1"/>
    <col min="35" max="35" width="8.86328125" style="38" hidden="1" customWidth="1"/>
    <col min="36" max="36" width="9.796875" style="38" hidden="1" customWidth="1"/>
    <col min="37" max="37" width="1.53125" style="38" hidden="1" customWidth="1"/>
    <col min="38" max="38" width="8.86328125" style="38" customWidth="1"/>
    <col min="39" max="39" width="9.796875" style="38" customWidth="1"/>
    <col min="40" max="40" width="1.53125" style="38" customWidth="1"/>
    <col min="41" max="41" width="8.86328125" style="38"/>
    <col min="42" max="42" width="9.796875" style="38" customWidth="1"/>
    <col min="43" max="43" width="1.53125" style="38" customWidth="1"/>
    <col min="44" max="44" width="8.86328125" style="38" customWidth="1"/>
    <col min="45" max="45" width="9.796875" style="38" customWidth="1"/>
    <col min="46" max="46" width="1.53125" style="38" customWidth="1"/>
    <col min="47" max="47" width="8.86328125" style="38" customWidth="1"/>
    <col min="48" max="48" width="9.796875" style="38" customWidth="1"/>
    <col min="49" max="49" width="1.53125" style="38" customWidth="1"/>
    <col min="50" max="50" width="8.86328125" style="38" customWidth="1"/>
    <col min="51" max="51" width="9.796875" style="38" customWidth="1"/>
    <col min="52" max="52" width="1.53125" style="38" customWidth="1"/>
    <col min="53" max="53" width="8.86328125" style="38" customWidth="1"/>
    <col min="54" max="54" width="9.796875" style="38" customWidth="1"/>
    <col min="55" max="55" width="1.53125" style="38" customWidth="1"/>
    <col min="56" max="56" width="8.86328125" style="38" customWidth="1"/>
    <col min="57" max="57" width="9.796875" style="38" customWidth="1"/>
    <col min="58" max="58" width="1.53125" style="38" customWidth="1"/>
    <col min="59" max="59" width="8.86328125" style="38" customWidth="1"/>
    <col min="60" max="60" width="9.796875" style="38" customWidth="1"/>
    <col min="61" max="61" width="1.53125" style="38" customWidth="1"/>
    <col min="62" max="62" width="8.86328125" style="38"/>
    <col min="63" max="63" width="9.796875" style="38" customWidth="1"/>
    <col min="64" max="64" width="1.53125" style="38" customWidth="1"/>
    <col min="65" max="65" width="8.86328125" style="38" customWidth="1"/>
    <col min="66" max="66" width="9.796875" style="38" customWidth="1"/>
    <col min="67" max="67" width="1.53125" style="38" customWidth="1"/>
    <col min="68" max="68" width="8.86328125" style="38" customWidth="1"/>
    <col min="69" max="69" width="9.796875" style="38" customWidth="1"/>
    <col min="70" max="70" width="37.33203125" style="38" hidden="1" customWidth="1"/>
    <col min="71" max="71" width="1.53125" style="38" customWidth="1"/>
    <col min="72" max="72" width="8.86328125" style="38" customWidth="1"/>
    <col min="73" max="73" width="9.796875" style="38" customWidth="1"/>
  </cols>
  <sheetData>
    <row r="1" spans="1:73" s="1" customFormat="1" ht="43.9" customHeight="1" x14ac:dyDescent="0.35">
      <c r="A1" s="11" t="s">
        <v>20</v>
      </c>
      <c r="B1" s="12" t="s">
        <v>0</v>
      </c>
      <c r="C1" s="41" t="s">
        <v>134</v>
      </c>
      <c r="D1" s="41" t="s">
        <v>133</v>
      </c>
      <c r="E1" s="41" t="s">
        <v>132</v>
      </c>
      <c r="F1" s="12" t="s">
        <v>127</v>
      </c>
      <c r="G1" s="18"/>
      <c r="H1" s="58" t="s">
        <v>7</v>
      </c>
      <c r="I1" s="58"/>
      <c r="J1" s="25"/>
      <c r="K1" s="58" t="s">
        <v>18</v>
      </c>
      <c r="L1" s="58"/>
      <c r="M1" s="25"/>
      <c r="N1" s="58" t="s">
        <v>15</v>
      </c>
      <c r="O1" s="58"/>
      <c r="P1" s="25"/>
      <c r="Q1" s="58" t="s">
        <v>3</v>
      </c>
      <c r="R1" s="58"/>
      <c r="S1" s="25"/>
      <c r="T1" s="58" t="s">
        <v>49</v>
      </c>
      <c r="U1" s="58"/>
      <c r="V1" s="25"/>
      <c r="W1" s="59" t="s">
        <v>137</v>
      </c>
      <c r="X1" s="60"/>
      <c r="Y1" s="25"/>
      <c r="Z1" s="58" t="s">
        <v>11</v>
      </c>
      <c r="AA1" s="58"/>
      <c r="AB1" s="25"/>
      <c r="AC1" s="58" t="s">
        <v>5</v>
      </c>
      <c r="AD1" s="58"/>
      <c r="AE1" s="25"/>
      <c r="AF1" s="58" t="s">
        <v>6</v>
      </c>
      <c r="AG1" s="58"/>
      <c r="AH1" s="9"/>
      <c r="AI1" s="58" t="s">
        <v>113</v>
      </c>
      <c r="AJ1" s="58"/>
      <c r="AK1" s="25"/>
      <c r="AL1" s="58" t="s">
        <v>17</v>
      </c>
      <c r="AM1" s="58"/>
      <c r="AN1" s="9"/>
      <c r="AO1" s="58" t="s">
        <v>2</v>
      </c>
      <c r="AP1" s="58"/>
      <c r="AQ1" s="25"/>
      <c r="AR1" s="58" t="s">
        <v>16</v>
      </c>
      <c r="AS1" s="58"/>
      <c r="AT1" s="25"/>
      <c r="AU1" s="58" t="s">
        <v>1</v>
      </c>
      <c r="AV1" s="58"/>
      <c r="AW1" s="25"/>
      <c r="AX1" s="58" t="s">
        <v>10</v>
      </c>
      <c r="AY1" s="58"/>
      <c r="AZ1" s="25"/>
      <c r="BA1" s="58" t="s">
        <v>110</v>
      </c>
      <c r="BB1" s="58"/>
      <c r="BC1" s="25"/>
      <c r="BD1" s="58" t="s">
        <v>111</v>
      </c>
      <c r="BE1" s="58"/>
      <c r="BF1" s="25"/>
      <c r="BG1" s="58" t="s">
        <v>9</v>
      </c>
      <c r="BH1" s="58"/>
      <c r="BI1" s="25"/>
      <c r="BJ1" s="58" t="s">
        <v>4</v>
      </c>
      <c r="BK1" s="58"/>
      <c r="BL1" s="9"/>
      <c r="BM1" s="58" t="s">
        <v>112</v>
      </c>
      <c r="BN1" s="58"/>
      <c r="BO1" s="25"/>
      <c r="BP1" s="58" t="s">
        <v>13</v>
      </c>
      <c r="BQ1" s="58"/>
      <c r="BR1" s="9"/>
      <c r="BS1" s="25"/>
      <c r="BT1" s="58" t="s">
        <v>12</v>
      </c>
      <c r="BU1" s="58"/>
    </row>
    <row r="2" spans="1:73" s="1" customFormat="1" ht="15.85" customHeight="1" x14ac:dyDescent="0.35">
      <c r="A2" s="11"/>
      <c r="B2" s="43" t="s">
        <v>128</v>
      </c>
      <c r="C2" s="44" t="s">
        <v>129</v>
      </c>
      <c r="D2" s="44" t="s">
        <v>130</v>
      </c>
      <c r="E2" s="44" t="s">
        <v>130</v>
      </c>
      <c r="F2" s="43" t="s">
        <v>131</v>
      </c>
      <c r="G2" s="18"/>
      <c r="H2" s="8" t="s">
        <v>8</v>
      </c>
      <c r="I2" s="9" t="s">
        <v>0</v>
      </c>
      <c r="J2" s="25"/>
      <c r="K2" s="8" t="s">
        <v>8</v>
      </c>
      <c r="L2" s="9" t="s">
        <v>0</v>
      </c>
      <c r="M2" s="25"/>
      <c r="N2" s="8" t="s">
        <v>8</v>
      </c>
      <c r="O2" s="9" t="s">
        <v>0</v>
      </c>
      <c r="P2" s="25"/>
      <c r="Q2" s="8" t="s">
        <v>8</v>
      </c>
      <c r="R2" s="9" t="s">
        <v>0</v>
      </c>
      <c r="S2" s="25"/>
      <c r="T2" s="8" t="s">
        <v>8</v>
      </c>
      <c r="U2" s="9" t="s">
        <v>0</v>
      </c>
      <c r="V2" s="25"/>
      <c r="W2" s="8" t="s">
        <v>8</v>
      </c>
      <c r="X2" s="9" t="s">
        <v>0</v>
      </c>
      <c r="Y2" s="25"/>
      <c r="Z2" s="8" t="s">
        <v>8</v>
      </c>
      <c r="AA2" s="9" t="s">
        <v>0</v>
      </c>
      <c r="AB2" s="25"/>
      <c r="AC2" s="8" t="s">
        <v>8</v>
      </c>
      <c r="AD2" s="9" t="s">
        <v>0</v>
      </c>
      <c r="AE2" s="25"/>
      <c r="AF2" s="8" t="s">
        <v>8</v>
      </c>
      <c r="AG2" s="9" t="s">
        <v>0</v>
      </c>
      <c r="AH2" s="9"/>
      <c r="AI2" s="8" t="s">
        <v>8</v>
      </c>
      <c r="AJ2" s="9" t="s">
        <v>0</v>
      </c>
      <c r="AK2" s="25"/>
      <c r="AL2" s="8" t="s">
        <v>8</v>
      </c>
      <c r="AM2" s="9" t="s">
        <v>0</v>
      </c>
      <c r="AN2" s="9"/>
      <c r="AO2" s="8" t="s">
        <v>8</v>
      </c>
      <c r="AP2" s="9" t="s">
        <v>0</v>
      </c>
      <c r="AQ2" s="25"/>
      <c r="AR2" s="8" t="s">
        <v>8</v>
      </c>
      <c r="AS2" s="9" t="s">
        <v>0</v>
      </c>
      <c r="AT2" s="25"/>
      <c r="AU2" s="8" t="s">
        <v>8</v>
      </c>
      <c r="AV2" s="9" t="s">
        <v>0</v>
      </c>
      <c r="AW2" s="25"/>
      <c r="AX2" s="8" t="s">
        <v>8</v>
      </c>
      <c r="AY2" s="9" t="s">
        <v>0</v>
      </c>
      <c r="AZ2" s="25"/>
      <c r="BA2" s="8" t="s">
        <v>8</v>
      </c>
      <c r="BB2" s="9" t="s">
        <v>0</v>
      </c>
      <c r="BC2" s="25"/>
      <c r="BD2" s="8" t="s">
        <v>8</v>
      </c>
      <c r="BE2" s="9" t="s">
        <v>0</v>
      </c>
      <c r="BF2" s="25"/>
      <c r="BG2" s="8" t="s">
        <v>8</v>
      </c>
      <c r="BH2" s="9" t="s">
        <v>0</v>
      </c>
      <c r="BI2" s="25"/>
      <c r="BJ2" s="8" t="s">
        <v>8</v>
      </c>
      <c r="BK2" s="9" t="s">
        <v>0</v>
      </c>
      <c r="BL2" s="9"/>
      <c r="BM2" s="8" t="s">
        <v>8</v>
      </c>
      <c r="BN2" s="9" t="s">
        <v>0</v>
      </c>
      <c r="BO2" s="25"/>
      <c r="BP2" s="8" t="s">
        <v>8</v>
      </c>
      <c r="BQ2" s="9" t="s">
        <v>0</v>
      </c>
      <c r="BR2" s="9"/>
      <c r="BS2" s="25"/>
      <c r="BT2" s="8" t="s">
        <v>8</v>
      </c>
      <c r="BU2" s="9" t="s">
        <v>0</v>
      </c>
    </row>
    <row r="3" spans="1:73" s="1" customFormat="1" ht="16.05" customHeight="1" x14ac:dyDescent="0.35">
      <c r="A3" s="3" t="s">
        <v>1</v>
      </c>
      <c r="B3" s="7">
        <f>Details!AV3</f>
        <v>4.833333333333333</v>
      </c>
      <c r="C3" s="7">
        <v>0</v>
      </c>
      <c r="D3" s="10">
        <f t="shared" ref="D3:D23" si="0">(B3-$B$3)</f>
        <v>0</v>
      </c>
      <c r="E3" s="42">
        <f>(B4-$B$4)/2</f>
        <v>0</v>
      </c>
      <c r="F3" s="42">
        <f>(B4-$B$4)*0.6/2</f>
        <v>0</v>
      </c>
      <c r="G3" s="18" t="s">
        <v>14</v>
      </c>
      <c r="H3" s="11"/>
      <c r="I3" s="11" cm="1">
        <f t="array" ref="I3">SUM(SMALL(H5:H16,{1,2,3,4,5,6}))/6</f>
        <v>11.533333333333333</v>
      </c>
      <c r="J3" s="11"/>
      <c r="K3" s="11"/>
      <c r="L3" s="11" cm="1">
        <f t="array" ref="L3">SUM(SMALL(K5:K16,{1,2,3,4,5,6}))/6</f>
        <v>13.666666666666666</v>
      </c>
      <c r="M3" s="11"/>
      <c r="N3" s="11"/>
      <c r="O3" s="11" cm="1">
        <f t="array" ref="O3">SUM(SMALL(N5:N16,{1,2,3,4,5,6}))/6</f>
        <v>14.333333333333334</v>
      </c>
      <c r="P3" s="11"/>
      <c r="Q3" s="11"/>
      <c r="R3" s="11" cm="1">
        <f t="array" ref="R3">SUM(SMALL(Q5:Q16,{1,2,3,4,5,6}))/6</f>
        <v>12.5</v>
      </c>
      <c r="S3" s="11"/>
      <c r="T3" s="11"/>
      <c r="U3" s="11" cm="1">
        <f t="array" ref="U3">SUM(SMALL(T5:T16,{1,2,3,4,5,6}))/6</f>
        <v>10.633333333333333</v>
      </c>
      <c r="V3" s="11"/>
      <c r="W3" s="11"/>
      <c r="X3" s="11" cm="1">
        <f t="array" ref="X3">SUM(SMALL(W5:W16,{1,2,3,4,5,6}))/6</f>
        <v>15.333333333333334</v>
      </c>
      <c r="Y3" s="11"/>
      <c r="Z3" s="11"/>
      <c r="AA3" s="11" cm="1">
        <f t="array" ref="AA3">SUM(SMALL(Z5:Z16,{1,2,3,4,5,6}))/6</f>
        <v>11.166666666666666</v>
      </c>
      <c r="AB3" s="11"/>
      <c r="AC3" s="11"/>
      <c r="AD3" s="11" cm="1">
        <f t="array" ref="AD3">SUM(SMALL(AC5:AC16,{1,2,3,4,5,6}))/6</f>
        <v>14.928571428571429</v>
      </c>
      <c r="AE3" s="11"/>
      <c r="AF3" s="11"/>
      <c r="AG3" s="11" cm="1">
        <f t="array" ref="AG3">SUM(SMALL(AF5:AF16,{1,2,3,4,5,6}))/6</f>
        <v>11.666666666666666</v>
      </c>
      <c r="AH3" s="11"/>
      <c r="AI3" s="11"/>
      <c r="AJ3" s="11" cm="1">
        <f t="array" ref="AJ3">SUM(SMALL(AI5:AI16,{1,2,3,4,5,6}))/6</f>
        <v>10.933333333333332</v>
      </c>
      <c r="AK3" s="11"/>
      <c r="AL3" s="11"/>
      <c r="AM3" s="11" cm="1">
        <f t="array" ref="AM3">SUM(SMALL(AL5:AL16,{1,2,3,4,5,6}))/6</f>
        <v>12.333333333333334</v>
      </c>
      <c r="AN3" s="11"/>
      <c r="AO3" s="11"/>
      <c r="AP3" s="11" cm="1">
        <f t="array" ref="AP3">SUM(SMALL(AO5:AO16,{1,2,3,4,5,6}))/6</f>
        <v>12.833333333333334</v>
      </c>
      <c r="AQ3" s="11"/>
      <c r="AR3" s="11"/>
      <c r="AS3" s="11" cm="1">
        <f t="array" ref="AS3">SUM(SMALL(AR5:AR16,{1,2,3,4,5,6}))/6</f>
        <v>5.166666666666667</v>
      </c>
      <c r="AT3" s="11"/>
      <c r="AU3" s="11"/>
      <c r="AV3" s="11" cm="1">
        <f t="array" ref="AV3">SUM(SMALL(AU5:AU16,{1,2,3,4,5,6}))/6</f>
        <v>4.833333333333333</v>
      </c>
      <c r="AW3" s="11"/>
      <c r="AX3" s="11"/>
      <c r="AY3" s="11" cm="1">
        <f t="array" ref="AY3">SUM(SMALL(AX5:AX16,{1,2,3,4,5,6}))/6</f>
        <v>15.738095238095239</v>
      </c>
      <c r="AZ3" s="11"/>
      <c r="BA3" s="11"/>
      <c r="BB3" s="11" cm="1">
        <f t="array" ref="BB3">SUM(SMALL(BA5:BA16,{1,2,3,4,5,6}))/6</f>
        <v>5.166666666666667</v>
      </c>
      <c r="BC3" s="11"/>
      <c r="BD3" s="11"/>
      <c r="BE3" s="11" cm="1">
        <f t="array" ref="BE3">SUM(SMALL(BD5:BD16,{1,2,3,4,5,6}))/6</f>
        <v>13.142857142857144</v>
      </c>
      <c r="BF3" s="11"/>
      <c r="BG3" s="11"/>
      <c r="BH3" s="11" cm="1">
        <f t="array" ref="BH3">SUM(SMALL(BG5:BG16,{1,2,3,4,5,6}))/6</f>
        <v>13.375</v>
      </c>
      <c r="BI3" s="11"/>
      <c r="BJ3" s="11"/>
      <c r="BK3" s="11" cm="1">
        <f t="array" ref="BK3">SUM(SMALL(BJ5:BJ16,{1,2,3,4,5,6}))/6</f>
        <v>10.416666666666666</v>
      </c>
      <c r="BL3" s="11"/>
      <c r="BM3" s="11"/>
      <c r="BN3" s="11" cm="1">
        <f t="array" ref="BN3">SUM(SMALL(BM5:BM16,{1,2,3,4,5,6}))/6</f>
        <v>11.333333333333334</v>
      </c>
      <c r="BO3" s="11"/>
      <c r="BP3" s="11"/>
      <c r="BQ3" s="11" cm="1">
        <f t="array" ref="BQ3">SUM(SMALL(BP5:BP16,{1,2,3,4,5,6}))/6</f>
        <v>12.137254901960786</v>
      </c>
      <c r="BR3" s="11"/>
      <c r="BS3" s="11"/>
      <c r="BT3" s="11"/>
      <c r="BU3" s="11" cm="1">
        <f t="array" ref="BU3">SUM(SMALL(BT5:BT16,{1,2,3,4,5,6}))/6</f>
        <v>10.833333333333334</v>
      </c>
    </row>
    <row r="4" spans="1:73" s="15" customFormat="1" ht="16.05" customHeight="1" x14ac:dyDescent="0.35">
      <c r="A4" s="14" t="s">
        <v>110</v>
      </c>
      <c r="B4" s="7">
        <f>Details!BB3</f>
        <v>5.166666666666667</v>
      </c>
      <c r="C4" s="7">
        <f t="shared" ref="C4:C23" si="1">D4*0.75</f>
        <v>0.25000000000000044</v>
      </c>
      <c r="D4" s="10">
        <f t="shared" si="0"/>
        <v>0.33333333333333393</v>
      </c>
      <c r="E4" s="42">
        <f>(B3-$B$4)/2</f>
        <v>-0.16666666666666696</v>
      </c>
      <c r="F4" s="42">
        <f>(B3-$B$4)*0.6/2</f>
        <v>-0.10000000000000017</v>
      </c>
      <c r="G4" s="18" t="s">
        <v>14</v>
      </c>
      <c r="H4" s="2"/>
      <c r="I4" s="3"/>
      <c r="J4" s="25"/>
      <c r="K4" s="2"/>
      <c r="L4" s="3"/>
      <c r="M4" s="25"/>
      <c r="N4" s="2"/>
      <c r="O4" s="3"/>
      <c r="P4" s="25"/>
      <c r="Q4" s="2"/>
      <c r="R4" s="3"/>
      <c r="S4" s="25"/>
      <c r="T4" s="13"/>
      <c r="U4" s="3"/>
      <c r="V4" s="25"/>
      <c r="W4" s="13"/>
      <c r="X4" s="3"/>
      <c r="Y4" s="25"/>
      <c r="Z4" s="2"/>
      <c r="AA4" s="3"/>
      <c r="AB4" s="25"/>
      <c r="AC4" s="2"/>
      <c r="AD4" s="3"/>
      <c r="AE4" s="25"/>
      <c r="AF4" s="2"/>
      <c r="AG4" s="3"/>
      <c r="AH4" s="3"/>
      <c r="AI4" s="2"/>
      <c r="AJ4" s="3"/>
      <c r="AK4" s="25"/>
      <c r="AL4" s="2"/>
      <c r="AM4" s="3"/>
      <c r="AN4" s="3"/>
      <c r="AO4" s="2"/>
      <c r="AP4" s="3"/>
      <c r="AQ4" s="25"/>
      <c r="AR4" s="2"/>
      <c r="AS4" s="3"/>
      <c r="AT4" s="25"/>
      <c r="AU4" s="2"/>
      <c r="AV4" s="3"/>
      <c r="AW4" s="25"/>
      <c r="AX4" s="2"/>
      <c r="AY4" s="3"/>
      <c r="AZ4" s="25"/>
      <c r="BA4" s="2"/>
      <c r="BB4" s="3"/>
      <c r="BC4" s="25"/>
      <c r="BD4" s="2"/>
      <c r="BE4" s="3"/>
      <c r="BF4" s="25"/>
      <c r="BG4" s="2"/>
      <c r="BH4" s="3"/>
      <c r="BI4" s="25"/>
      <c r="BJ4" s="2"/>
      <c r="BK4" s="3"/>
      <c r="BL4" s="3"/>
      <c r="BM4" s="2"/>
      <c r="BN4" s="3"/>
      <c r="BO4" s="25"/>
      <c r="BP4" s="2"/>
      <c r="BQ4" s="3"/>
      <c r="BR4" s="3"/>
      <c r="BS4" s="25"/>
      <c r="BT4" s="2"/>
      <c r="BU4" s="3"/>
    </row>
    <row r="5" spans="1:73" s="1" customFormat="1" ht="16.05" customHeight="1" x14ac:dyDescent="0.35">
      <c r="A5" s="3" t="s">
        <v>16</v>
      </c>
      <c r="B5" s="7">
        <f>Details!AS3</f>
        <v>5.166666666666667</v>
      </c>
      <c r="C5" s="7">
        <f t="shared" si="1"/>
        <v>0.25000000000000044</v>
      </c>
      <c r="D5" s="10">
        <f t="shared" si="0"/>
        <v>0.33333333333333393</v>
      </c>
      <c r="E5" s="42" t="e">
        <f>(#REF!-$B$4)/2</f>
        <v>#REF!</v>
      </c>
      <c r="F5" s="42" t="e">
        <f>(#REF!-$B$4)*0.6/2</f>
        <v>#REF!</v>
      </c>
      <c r="G5" s="19"/>
      <c r="H5" s="25">
        <v>8</v>
      </c>
      <c r="I5" s="5" t="s">
        <v>14</v>
      </c>
      <c r="J5" s="5"/>
      <c r="K5" s="25">
        <v>24</v>
      </c>
      <c r="L5" s="4" t="s">
        <v>14</v>
      </c>
      <c r="M5" s="5"/>
      <c r="N5" s="25">
        <v>16</v>
      </c>
      <c r="O5" s="5" t="s">
        <v>14</v>
      </c>
      <c r="P5" s="5"/>
      <c r="Q5" s="25">
        <v>14</v>
      </c>
      <c r="R5" s="5" t="s">
        <v>14</v>
      </c>
      <c r="S5" s="5"/>
      <c r="T5" s="25">
        <v>10</v>
      </c>
      <c r="U5" s="5"/>
      <c r="V5" s="5"/>
      <c r="W5" s="25">
        <v>24</v>
      </c>
      <c r="X5" s="5"/>
      <c r="Y5" s="5"/>
      <c r="Z5" s="25">
        <v>10</v>
      </c>
      <c r="AA5" s="27"/>
      <c r="AB5" s="5"/>
      <c r="AC5" s="5">
        <f>9*18/14</f>
        <v>11.571428571428571</v>
      </c>
      <c r="AD5" s="5"/>
      <c r="AE5" s="5"/>
      <c r="AF5" s="25">
        <v>14</v>
      </c>
      <c r="AG5" s="4" t="s">
        <v>14</v>
      </c>
      <c r="AH5" s="4"/>
      <c r="AI5" s="25">
        <v>13</v>
      </c>
      <c r="AJ5" s="5"/>
      <c r="AK5" s="5"/>
      <c r="AL5" s="25">
        <v>16</v>
      </c>
      <c r="AM5" s="4" t="s">
        <v>14</v>
      </c>
      <c r="AN5" s="4"/>
      <c r="AO5" s="25">
        <v>18</v>
      </c>
      <c r="AP5" s="5" t="s">
        <v>14</v>
      </c>
      <c r="AQ5" s="5"/>
      <c r="AR5" s="25">
        <v>6</v>
      </c>
      <c r="AS5" s="5"/>
      <c r="AT5" s="5"/>
      <c r="AU5" s="25">
        <v>3</v>
      </c>
      <c r="AV5" s="5" t="s">
        <v>14</v>
      </c>
      <c r="AW5" s="5"/>
      <c r="AX5" s="25">
        <v>15</v>
      </c>
      <c r="AY5" s="5"/>
      <c r="AZ5" s="5"/>
      <c r="BA5" s="25">
        <v>4</v>
      </c>
      <c r="BB5" s="5"/>
      <c r="BC5" s="5"/>
      <c r="BD5" s="25">
        <v>16</v>
      </c>
      <c r="BE5" s="5"/>
      <c r="BF5" s="5"/>
      <c r="BG5" s="25">
        <v>13</v>
      </c>
      <c r="BH5" s="5" t="s">
        <v>14</v>
      </c>
      <c r="BI5" s="5"/>
      <c r="BJ5" s="25">
        <v>5</v>
      </c>
      <c r="BK5" s="5" t="s">
        <v>14</v>
      </c>
      <c r="BL5" s="5"/>
      <c r="BM5" s="5">
        <f>10*18/14</f>
        <v>12.857142857142858</v>
      </c>
      <c r="BN5" s="5"/>
      <c r="BO5" s="5"/>
      <c r="BP5" s="25">
        <v>13</v>
      </c>
      <c r="BQ5" s="16"/>
      <c r="BR5" s="16" t="s">
        <v>79</v>
      </c>
      <c r="BS5" s="5"/>
      <c r="BT5" s="25">
        <v>14</v>
      </c>
      <c r="BU5" s="5" t="s">
        <v>14</v>
      </c>
    </row>
    <row r="6" spans="1:73" s="1" customFormat="1" ht="16.05" customHeight="1" x14ac:dyDescent="0.35">
      <c r="A6" s="3" t="s">
        <v>4</v>
      </c>
      <c r="B6" s="7">
        <f>Details!BK3</f>
        <v>10.416666666666666</v>
      </c>
      <c r="C6" s="7">
        <f t="shared" si="1"/>
        <v>4.1875</v>
      </c>
      <c r="D6" s="10">
        <f t="shared" si="0"/>
        <v>5.583333333333333</v>
      </c>
      <c r="E6" s="42">
        <f>(B5-$B$4)/2</f>
        <v>0</v>
      </c>
      <c r="F6" s="42">
        <f>(B5-$B$4)*0.6/2</f>
        <v>0</v>
      </c>
      <c r="G6" s="20"/>
      <c r="H6" s="25">
        <v>11</v>
      </c>
      <c r="I6" s="5"/>
      <c r="J6" s="5"/>
      <c r="K6" s="25">
        <v>9</v>
      </c>
      <c r="L6" s="4"/>
      <c r="M6" s="5"/>
      <c r="N6" s="25">
        <v>14</v>
      </c>
      <c r="O6" s="5" t="s">
        <v>14</v>
      </c>
      <c r="P6" s="5"/>
      <c r="Q6" s="25">
        <v>18</v>
      </c>
      <c r="R6" s="5" t="s">
        <v>14</v>
      </c>
      <c r="S6" s="5"/>
      <c r="T6" s="25">
        <v>18</v>
      </c>
      <c r="U6" s="4" t="s">
        <v>14</v>
      </c>
      <c r="V6" s="5"/>
      <c r="W6" s="25">
        <v>19</v>
      </c>
      <c r="X6" s="4" t="s">
        <v>14</v>
      </c>
      <c r="Y6" s="5"/>
      <c r="Z6" s="25">
        <v>17</v>
      </c>
      <c r="AA6" s="27"/>
      <c r="AB6" s="5"/>
      <c r="AC6" s="25">
        <v>16</v>
      </c>
      <c r="AD6" s="5"/>
      <c r="AE6" s="5"/>
      <c r="AF6" s="25">
        <v>13</v>
      </c>
      <c r="AG6" s="4"/>
      <c r="AH6" s="4"/>
      <c r="AI6" s="25">
        <v>11</v>
      </c>
      <c r="AJ6" s="5"/>
      <c r="AK6" s="5"/>
      <c r="AL6" s="25">
        <v>16</v>
      </c>
      <c r="AM6" s="4"/>
      <c r="AN6" s="4"/>
      <c r="AO6" s="25">
        <v>20</v>
      </c>
      <c r="AP6" s="5" t="s">
        <v>14</v>
      </c>
      <c r="AQ6" s="5"/>
      <c r="AR6" s="25">
        <v>6</v>
      </c>
      <c r="AS6" s="5"/>
      <c r="AT6" s="5"/>
      <c r="AU6" s="25">
        <v>8</v>
      </c>
      <c r="AV6" s="5" t="s">
        <v>14</v>
      </c>
      <c r="AW6" s="5"/>
      <c r="AX6" s="25">
        <v>21</v>
      </c>
      <c r="AY6" s="5"/>
      <c r="AZ6" s="5"/>
      <c r="BA6" s="25">
        <v>12</v>
      </c>
      <c r="BB6" s="5"/>
      <c r="BC6" s="5"/>
      <c r="BD6" s="25">
        <v>18</v>
      </c>
      <c r="BE6" s="5"/>
      <c r="BF6" s="5"/>
      <c r="BG6" s="25">
        <v>18</v>
      </c>
      <c r="BH6" s="5" t="s">
        <v>14</v>
      </c>
      <c r="BI6" s="5"/>
      <c r="BJ6" s="25">
        <v>18</v>
      </c>
      <c r="BK6" s="5" t="s">
        <v>14</v>
      </c>
      <c r="BL6" s="5"/>
      <c r="BM6" s="25">
        <v>11</v>
      </c>
      <c r="BN6" s="5"/>
      <c r="BO6" s="5"/>
      <c r="BP6" s="25">
        <v>12</v>
      </c>
      <c r="BQ6" s="16"/>
      <c r="BR6" s="16" t="s">
        <v>91</v>
      </c>
      <c r="BS6" s="5"/>
      <c r="BT6" s="25">
        <v>18</v>
      </c>
      <c r="BU6" s="5" t="s">
        <v>14</v>
      </c>
    </row>
    <row r="7" spans="1:73" s="1" customFormat="1" ht="16.05" customHeight="1" x14ac:dyDescent="0.35">
      <c r="A7" s="3" t="s">
        <v>49</v>
      </c>
      <c r="B7" s="7">
        <f>Details!U3</f>
        <v>10.633333333333333</v>
      </c>
      <c r="C7" s="7">
        <f t="shared" si="1"/>
        <v>4.3499999999999996</v>
      </c>
      <c r="D7" s="10">
        <f t="shared" si="0"/>
        <v>5.8</v>
      </c>
      <c r="E7" s="42">
        <f>(B6-$B$4)/2</f>
        <v>2.6249999999999996</v>
      </c>
      <c r="F7" s="42">
        <f>(B6-$B$4)*0.6/2</f>
        <v>1.5749999999999997</v>
      </c>
      <c r="G7" s="19"/>
      <c r="H7" s="25">
        <v>20</v>
      </c>
      <c r="I7" s="5"/>
      <c r="J7" s="5"/>
      <c r="K7" s="25">
        <v>15</v>
      </c>
      <c r="L7" s="4"/>
      <c r="M7" s="5"/>
      <c r="N7" s="25">
        <v>20</v>
      </c>
      <c r="O7" s="5" t="s">
        <v>14</v>
      </c>
      <c r="P7" s="5"/>
      <c r="Q7" s="25">
        <v>16</v>
      </c>
      <c r="R7" s="5" t="s">
        <v>14</v>
      </c>
      <c r="S7" s="5"/>
      <c r="T7" s="25">
        <v>12</v>
      </c>
      <c r="U7" s="4"/>
      <c r="V7" s="5"/>
      <c r="W7" s="25">
        <v>21</v>
      </c>
      <c r="X7" s="4"/>
      <c r="Y7" s="5"/>
      <c r="Z7" s="25">
        <v>16</v>
      </c>
      <c r="AA7" s="27"/>
      <c r="AB7" s="5"/>
      <c r="AC7" s="25">
        <v>14</v>
      </c>
      <c r="AD7" s="5"/>
      <c r="AE7" s="5"/>
      <c r="AF7" s="25">
        <v>13</v>
      </c>
      <c r="AG7" s="4"/>
      <c r="AH7" s="4"/>
      <c r="AI7" s="25">
        <v>17</v>
      </c>
      <c r="AJ7" s="5"/>
      <c r="AK7" s="5"/>
      <c r="AL7" s="25">
        <v>17</v>
      </c>
      <c r="AM7" s="4"/>
      <c r="AN7" s="4"/>
      <c r="AO7" s="25">
        <v>19</v>
      </c>
      <c r="AP7" s="5" t="s">
        <v>14</v>
      </c>
      <c r="AQ7" s="5"/>
      <c r="AR7" s="25">
        <v>9</v>
      </c>
      <c r="AS7" s="5"/>
      <c r="AT7" s="5"/>
      <c r="AU7" s="25">
        <v>15</v>
      </c>
      <c r="AV7" s="4"/>
      <c r="AW7" s="5"/>
      <c r="AX7" s="5">
        <f>12*18/14</f>
        <v>15.428571428571429</v>
      </c>
      <c r="AY7" s="5"/>
      <c r="AZ7" s="5"/>
      <c r="BA7" s="25">
        <v>5</v>
      </c>
      <c r="BB7" s="5"/>
      <c r="BC7" s="5"/>
      <c r="BD7" s="25">
        <v>17</v>
      </c>
      <c r="BE7" s="5"/>
      <c r="BF7" s="5"/>
      <c r="BG7" s="25">
        <v>18</v>
      </c>
      <c r="BH7" s="5" t="s">
        <v>14</v>
      </c>
      <c r="BI7" s="5"/>
      <c r="BJ7" s="25">
        <v>8</v>
      </c>
      <c r="BK7" s="5" t="s">
        <v>14</v>
      </c>
      <c r="BL7" s="5"/>
      <c r="BM7" s="25">
        <v>8</v>
      </c>
      <c r="BN7" s="5"/>
      <c r="BO7" s="5"/>
      <c r="BP7" s="25">
        <v>18</v>
      </c>
      <c r="BQ7" s="16"/>
      <c r="BR7" s="16" t="s">
        <v>90</v>
      </c>
      <c r="BS7" s="5"/>
      <c r="BT7" s="25">
        <v>14</v>
      </c>
      <c r="BU7" s="5" t="s">
        <v>14</v>
      </c>
    </row>
    <row r="8" spans="1:73" s="1" customFormat="1" ht="16.05" customHeight="1" x14ac:dyDescent="0.35">
      <c r="A8" s="3" t="s">
        <v>12</v>
      </c>
      <c r="B8" s="7">
        <f>Details!BU3</f>
        <v>10.833333333333334</v>
      </c>
      <c r="C8" s="7">
        <f t="shared" si="1"/>
        <v>4.5000000000000009</v>
      </c>
      <c r="D8" s="10">
        <f t="shared" si="0"/>
        <v>6.0000000000000009</v>
      </c>
      <c r="E8" s="42">
        <f>(B8-$B$4)/2</f>
        <v>2.8333333333333335</v>
      </c>
      <c r="F8" s="42">
        <f>(B8-$B$4)*0.6/2</f>
        <v>1.7</v>
      </c>
      <c r="G8" s="19"/>
      <c r="H8" s="25">
        <v>13</v>
      </c>
      <c r="I8" s="5"/>
      <c r="J8" s="5"/>
      <c r="K8" s="25">
        <v>14</v>
      </c>
      <c r="L8" s="4"/>
      <c r="M8" s="5"/>
      <c r="N8" s="25">
        <v>15</v>
      </c>
      <c r="O8" s="5" t="s">
        <v>14</v>
      </c>
      <c r="P8" s="5"/>
      <c r="Q8" s="5">
        <v>14</v>
      </c>
      <c r="R8" s="5" t="s">
        <v>14</v>
      </c>
      <c r="S8" s="5"/>
      <c r="T8" s="25">
        <v>8</v>
      </c>
      <c r="U8" s="4"/>
      <c r="V8" s="5"/>
      <c r="W8" s="25">
        <v>19</v>
      </c>
      <c r="X8" s="4"/>
      <c r="Y8" s="5"/>
      <c r="Z8" s="25">
        <v>16</v>
      </c>
      <c r="AA8" s="27"/>
      <c r="AB8" s="5"/>
      <c r="AC8" s="25">
        <v>15</v>
      </c>
      <c r="AD8" s="5"/>
      <c r="AE8" s="5"/>
      <c r="AF8" s="25">
        <v>12</v>
      </c>
      <c r="AG8" s="4"/>
      <c r="AH8" s="4"/>
      <c r="AI8" s="25">
        <v>12</v>
      </c>
      <c r="AJ8" s="5"/>
      <c r="AK8" s="5"/>
      <c r="AL8" s="25">
        <v>15</v>
      </c>
      <c r="AM8" s="4"/>
      <c r="AN8" s="4"/>
      <c r="AO8" s="25">
        <v>17</v>
      </c>
      <c r="AP8" s="4"/>
      <c r="AQ8" s="5"/>
      <c r="AR8" s="25">
        <v>9</v>
      </c>
      <c r="AS8" s="5"/>
      <c r="AT8" s="5"/>
      <c r="AU8" s="25">
        <v>10</v>
      </c>
      <c r="AV8" s="4"/>
      <c r="AW8" s="5"/>
      <c r="AX8" s="25">
        <v>20</v>
      </c>
      <c r="AY8" s="5"/>
      <c r="AZ8" s="5"/>
      <c r="BA8" s="25">
        <v>7</v>
      </c>
      <c r="BB8" s="5"/>
      <c r="BC8" s="5"/>
      <c r="BD8" s="25">
        <v>9</v>
      </c>
      <c r="BE8" s="5"/>
      <c r="BF8" s="5"/>
      <c r="BG8" s="25">
        <v>20</v>
      </c>
      <c r="BH8" s="4"/>
      <c r="BI8" s="5"/>
      <c r="BJ8" s="5">
        <f>15*1.1</f>
        <v>16.5</v>
      </c>
      <c r="BK8" s="5" t="s">
        <v>14</v>
      </c>
      <c r="BL8" s="5"/>
      <c r="BM8" s="25">
        <v>11</v>
      </c>
      <c r="BN8" s="5"/>
      <c r="BO8" s="5"/>
      <c r="BP8" s="5">
        <f>14*18/17</f>
        <v>14.823529411764707</v>
      </c>
      <c r="BQ8" s="16"/>
      <c r="BR8" s="16" t="s">
        <v>75</v>
      </c>
      <c r="BS8" s="5"/>
      <c r="BT8" s="25">
        <v>15</v>
      </c>
      <c r="BU8" s="5" t="s">
        <v>14</v>
      </c>
    </row>
    <row r="9" spans="1:73" s="1" customFormat="1" ht="16.05" customHeight="1" x14ac:dyDescent="0.35">
      <c r="A9" s="14" t="s">
        <v>11</v>
      </c>
      <c r="B9" s="7">
        <f>Details!AA3</f>
        <v>11.166666666666666</v>
      </c>
      <c r="C9" s="7">
        <f t="shared" si="1"/>
        <v>4.75</v>
      </c>
      <c r="D9" s="10">
        <f t="shared" si="0"/>
        <v>6.333333333333333</v>
      </c>
      <c r="E9" s="42">
        <f>(B9-$B$4)/2</f>
        <v>2.9999999999999996</v>
      </c>
      <c r="F9" s="42">
        <f>(B9-$B$4)*0.6/2</f>
        <v>1.7999999999999996</v>
      </c>
      <c r="G9" s="21"/>
      <c r="H9" s="5">
        <f>16*1.2</f>
        <v>19.2</v>
      </c>
      <c r="I9" s="5"/>
      <c r="J9" s="5"/>
      <c r="K9" s="25">
        <v>20</v>
      </c>
      <c r="L9" s="4"/>
      <c r="M9" s="5"/>
      <c r="N9" s="25">
        <v>15</v>
      </c>
      <c r="O9" s="5" t="s">
        <v>14</v>
      </c>
      <c r="P9" s="5"/>
      <c r="Q9" s="25">
        <v>16</v>
      </c>
      <c r="R9" s="4"/>
      <c r="S9" s="5"/>
      <c r="T9" s="25">
        <v>15</v>
      </c>
      <c r="U9" s="4"/>
      <c r="V9" s="5"/>
      <c r="W9" s="25">
        <v>18</v>
      </c>
      <c r="X9" s="4"/>
      <c r="Y9" s="5"/>
      <c r="Z9" s="25">
        <v>14</v>
      </c>
      <c r="AA9" s="27"/>
      <c r="AB9" s="5"/>
      <c r="AC9" s="25">
        <v>15</v>
      </c>
      <c r="AD9" s="5"/>
      <c r="AE9" s="5"/>
      <c r="AF9" s="25">
        <v>16</v>
      </c>
      <c r="AG9" s="4"/>
      <c r="AH9" s="4"/>
      <c r="AI9" s="25">
        <v>11</v>
      </c>
      <c r="AJ9" s="5"/>
      <c r="AK9" s="5"/>
      <c r="AL9" s="25">
        <v>24</v>
      </c>
      <c r="AM9" s="4"/>
      <c r="AN9" s="4"/>
      <c r="AO9" s="25">
        <v>12</v>
      </c>
      <c r="AP9" s="4"/>
      <c r="AQ9" s="5"/>
      <c r="AR9" s="25">
        <v>8</v>
      </c>
      <c r="AS9" s="5"/>
      <c r="AT9" s="5"/>
      <c r="AU9" s="25">
        <v>8</v>
      </c>
      <c r="AV9" s="4"/>
      <c r="AW9" s="5"/>
      <c r="AX9" s="25">
        <v>19</v>
      </c>
      <c r="AY9" s="5"/>
      <c r="AZ9" s="5"/>
      <c r="BA9" s="25">
        <v>5</v>
      </c>
      <c r="BB9" s="5"/>
      <c r="BC9" s="5"/>
      <c r="BD9" s="5">
        <f>10*18/14</f>
        <v>12.857142857142858</v>
      </c>
      <c r="BE9" s="5"/>
      <c r="BF9" s="5"/>
      <c r="BG9" s="25">
        <v>16</v>
      </c>
      <c r="BH9" s="4"/>
      <c r="BI9" s="5"/>
      <c r="BJ9" s="5">
        <f>15*0.9</f>
        <v>13.5</v>
      </c>
      <c r="BK9" s="5" t="s">
        <v>14</v>
      </c>
      <c r="BL9" s="5"/>
      <c r="BM9" s="25">
        <v>18</v>
      </c>
      <c r="BN9" s="5"/>
      <c r="BO9" s="5"/>
      <c r="BP9" s="5">
        <f>16*1.1</f>
        <v>17.600000000000001</v>
      </c>
      <c r="BQ9" s="16"/>
      <c r="BR9" s="16" t="s">
        <v>92</v>
      </c>
      <c r="BS9" s="5"/>
      <c r="BT9" s="25">
        <v>16</v>
      </c>
      <c r="BU9" s="5" t="s">
        <v>14</v>
      </c>
    </row>
    <row r="10" spans="1:73" s="1" customFormat="1" ht="16.05" customHeight="1" x14ac:dyDescent="0.35">
      <c r="A10" s="14" t="s">
        <v>112</v>
      </c>
      <c r="B10" s="7">
        <f>Details!BN3</f>
        <v>11.333333333333334</v>
      </c>
      <c r="C10" s="7">
        <f t="shared" si="1"/>
        <v>4.8750000000000009</v>
      </c>
      <c r="D10" s="10">
        <f t="shared" si="0"/>
        <v>6.5000000000000009</v>
      </c>
      <c r="E10" s="42">
        <f>(B10-$B$4)/2</f>
        <v>3.0833333333333335</v>
      </c>
      <c r="F10" s="42">
        <f>(B10-$B$4)*0.6/2</f>
        <v>1.85</v>
      </c>
      <c r="G10" s="19"/>
      <c r="H10" s="5">
        <f>11*1.2</f>
        <v>13.2</v>
      </c>
      <c r="I10" s="5"/>
      <c r="J10" s="5"/>
      <c r="K10" s="25">
        <v>17</v>
      </c>
      <c r="L10" s="4"/>
      <c r="M10" s="5"/>
      <c r="N10" s="25">
        <v>23</v>
      </c>
      <c r="O10" s="5" t="s">
        <v>14</v>
      </c>
      <c r="P10" s="5"/>
      <c r="Q10" s="25">
        <v>20</v>
      </c>
      <c r="R10" s="4"/>
      <c r="S10" s="5"/>
      <c r="T10" s="25">
        <v>11</v>
      </c>
      <c r="U10" s="4"/>
      <c r="V10" s="5"/>
      <c r="W10" s="25">
        <v>13</v>
      </c>
      <c r="X10" s="4"/>
      <c r="Y10" s="5"/>
      <c r="Z10" s="5">
        <f>11*18/14</f>
        <v>14.142857142857142</v>
      </c>
      <c r="AA10" s="27"/>
      <c r="AB10" s="5"/>
      <c r="AC10" s="25">
        <v>19</v>
      </c>
      <c r="AD10" s="5"/>
      <c r="AE10" s="5"/>
      <c r="AF10" s="25">
        <v>16</v>
      </c>
      <c r="AG10" s="4"/>
      <c r="AH10" s="4"/>
      <c r="AI10" s="25">
        <v>15</v>
      </c>
      <c r="AJ10" s="5"/>
      <c r="AK10" s="5"/>
      <c r="AL10" s="25">
        <v>12</v>
      </c>
      <c r="AM10" s="4"/>
      <c r="AN10" s="4"/>
      <c r="AO10" s="25">
        <v>15</v>
      </c>
      <c r="AP10" s="4"/>
      <c r="AQ10" s="5"/>
      <c r="AR10" s="5">
        <f>13*0.8</f>
        <v>10.4</v>
      </c>
      <c r="AS10" s="5"/>
      <c r="AT10" s="5"/>
      <c r="AU10" s="25">
        <v>7</v>
      </c>
      <c r="AV10" s="4"/>
      <c r="AW10" s="5"/>
      <c r="AX10" s="25">
        <v>20</v>
      </c>
      <c r="AY10" s="5"/>
      <c r="AZ10" s="5"/>
      <c r="BA10" s="25">
        <v>8</v>
      </c>
      <c r="BB10" s="5"/>
      <c r="BC10" s="5"/>
      <c r="BD10" s="25">
        <v>19</v>
      </c>
      <c r="BE10" s="5"/>
      <c r="BF10" s="5"/>
      <c r="BG10" s="25">
        <v>15</v>
      </c>
      <c r="BH10" s="4"/>
      <c r="BI10" s="5"/>
      <c r="BJ10" s="25">
        <v>10</v>
      </c>
      <c r="BK10" s="5"/>
      <c r="BL10" s="5"/>
      <c r="BM10" s="25">
        <v>17</v>
      </c>
      <c r="BN10" s="5"/>
      <c r="BO10" s="5"/>
      <c r="BP10" s="5">
        <f>16*1.1</f>
        <v>17.600000000000001</v>
      </c>
      <c r="BQ10" s="16"/>
      <c r="BR10" s="16" t="s">
        <v>89</v>
      </c>
      <c r="BS10" s="5"/>
      <c r="BT10" s="25">
        <v>13</v>
      </c>
      <c r="BU10" s="5" t="s">
        <v>14</v>
      </c>
    </row>
    <row r="11" spans="1:73" s="1" customFormat="1" ht="16.05" customHeight="1" x14ac:dyDescent="0.35">
      <c r="A11" s="61" t="s">
        <v>7</v>
      </c>
      <c r="B11" s="61">
        <f>Details!I3</f>
        <v>11.533333333333333</v>
      </c>
      <c r="C11" s="7">
        <f t="shared" si="1"/>
        <v>5.0250000000000004</v>
      </c>
      <c r="D11" s="10">
        <f t="shared" si="0"/>
        <v>6.7</v>
      </c>
      <c r="E11" s="42">
        <f>(B11-$B$4)/2</f>
        <v>3.1833333333333331</v>
      </c>
      <c r="F11" s="42">
        <f>(B11-$B$4)*0.6/2</f>
        <v>1.9099999999999997</v>
      </c>
      <c r="G11" s="19"/>
      <c r="H11" s="25">
        <v>14</v>
      </c>
      <c r="I11" s="5"/>
      <c r="J11" s="5"/>
      <c r="K11" s="25">
        <v>17</v>
      </c>
      <c r="L11" s="4"/>
      <c r="M11" s="5"/>
      <c r="N11" s="25">
        <v>22</v>
      </c>
      <c r="O11" s="5" t="s">
        <v>14</v>
      </c>
      <c r="P11" s="5"/>
      <c r="Q11" s="25">
        <v>16</v>
      </c>
      <c r="R11" s="4"/>
      <c r="S11" s="5"/>
      <c r="T11" s="5">
        <f>11*1.1</f>
        <v>12.100000000000001</v>
      </c>
      <c r="U11" s="4"/>
      <c r="V11" s="5"/>
      <c r="W11" s="25">
        <v>16</v>
      </c>
      <c r="X11" s="4"/>
      <c r="Y11" s="5"/>
      <c r="Z11" s="25">
        <v>14</v>
      </c>
      <c r="AA11" s="27"/>
      <c r="AB11" s="5"/>
      <c r="AC11" s="25">
        <v>22</v>
      </c>
      <c r="AD11" s="5" t="s">
        <v>14</v>
      </c>
      <c r="AE11" s="5"/>
      <c r="AF11" s="25">
        <v>18</v>
      </c>
      <c r="AG11" s="4"/>
      <c r="AH11" s="4"/>
      <c r="AI11" s="25">
        <v>15</v>
      </c>
      <c r="AJ11" s="5"/>
      <c r="AK11" s="5"/>
      <c r="AL11" s="25">
        <v>13</v>
      </c>
      <c r="AM11" s="4"/>
      <c r="AN11" s="4"/>
      <c r="AO11" s="25">
        <v>16</v>
      </c>
      <c r="AP11" s="4"/>
      <c r="AQ11" s="5"/>
      <c r="AR11" s="25">
        <v>6</v>
      </c>
      <c r="AS11" s="5"/>
      <c r="AT11" s="5"/>
      <c r="AU11" s="25">
        <v>6</v>
      </c>
      <c r="AV11" s="4"/>
      <c r="AW11" s="5"/>
      <c r="AX11" s="25">
        <v>21</v>
      </c>
      <c r="AY11" s="5"/>
      <c r="AZ11" s="5"/>
      <c r="BA11" s="25">
        <v>7</v>
      </c>
      <c r="BB11" s="5"/>
      <c r="BC11" s="5"/>
      <c r="BD11" s="25">
        <v>13</v>
      </c>
      <c r="BE11" s="5"/>
      <c r="BF11" s="5"/>
      <c r="BG11" s="5">
        <v>23</v>
      </c>
      <c r="BH11" s="4"/>
      <c r="BI11" s="5"/>
      <c r="BJ11" s="25">
        <v>20</v>
      </c>
      <c r="BK11" s="5"/>
      <c r="BL11" s="5"/>
      <c r="BM11" s="25">
        <v>16</v>
      </c>
      <c r="BN11" s="5"/>
      <c r="BO11" s="5"/>
      <c r="BP11" s="5">
        <f>14*1.1</f>
        <v>15.400000000000002</v>
      </c>
      <c r="BQ11" s="16"/>
      <c r="BR11" s="16" t="s">
        <v>93</v>
      </c>
      <c r="BS11" s="5"/>
      <c r="BT11" s="25">
        <v>10</v>
      </c>
      <c r="BU11" s="4" t="s">
        <v>14</v>
      </c>
    </row>
    <row r="12" spans="1:73" s="1" customFormat="1" ht="16.05" customHeight="1" x14ac:dyDescent="0.35">
      <c r="A12" s="3" t="s">
        <v>6</v>
      </c>
      <c r="B12" s="7">
        <f>Details!AG3</f>
        <v>11.666666666666666</v>
      </c>
      <c r="C12" s="7">
        <f t="shared" si="1"/>
        <v>5.125</v>
      </c>
      <c r="D12" s="10">
        <f t="shared" si="0"/>
        <v>6.833333333333333</v>
      </c>
      <c r="E12" s="42" t="e">
        <f>(#REF!-$B$4)/2</f>
        <v>#REF!</v>
      </c>
      <c r="F12" s="42" t="e">
        <f>(#REF!-$B$4)*0.6/2</f>
        <v>#REF!</v>
      </c>
      <c r="G12" s="19"/>
      <c r="H12" s="25">
        <v>15</v>
      </c>
      <c r="I12" s="5" t="s">
        <v>14</v>
      </c>
      <c r="J12" s="5"/>
      <c r="K12" s="25">
        <v>14</v>
      </c>
      <c r="L12" s="4"/>
      <c r="M12" s="5"/>
      <c r="N12" s="25">
        <v>16</v>
      </c>
      <c r="O12" s="5"/>
      <c r="P12" s="5"/>
      <c r="Q12" s="25">
        <v>15</v>
      </c>
      <c r="R12" s="4"/>
      <c r="S12" s="5"/>
      <c r="T12" s="25">
        <v>18</v>
      </c>
      <c r="U12" s="4"/>
      <c r="V12" s="5"/>
      <c r="W12" s="25">
        <v>10</v>
      </c>
      <c r="X12" s="4"/>
      <c r="Y12" s="5"/>
      <c r="Z12" s="25">
        <v>13</v>
      </c>
      <c r="AA12" s="27"/>
      <c r="AB12" s="5"/>
      <c r="AC12" s="5">
        <f>19*1.1</f>
        <v>20.900000000000002</v>
      </c>
      <c r="AD12" s="5"/>
      <c r="AE12" s="5"/>
      <c r="AF12" s="25">
        <v>13</v>
      </c>
      <c r="AG12" s="4"/>
      <c r="AH12" s="4"/>
      <c r="AI12" s="25">
        <v>13</v>
      </c>
      <c r="AJ12" s="5" t="s">
        <v>14</v>
      </c>
      <c r="AK12" s="5"/>
      <c r="AL12" s="25">
        <v>14</v>
      </c>
      <c r="AM12" s="4"/>
      <c r="AN12" s="4"/>
      <c r="AO12" s="25">
        <v>15</v>
      </c>
      <c r="AP12" s="4"/>
      <c r="AQ12" s="5"/>
      <c r="AR12" s="25">
        <v>6</v>
      </c>
      <c r="AS12" s="5"/>
      <c r="AT12" s="5"/>
      <c r="AU12" s="25">
        <v>4</v>
      </c>
      <c r="AV12" s="4"/>
      <c r="AW12" s="5"/>
      <c r="AX12" s="25">
        <v>16</v>
      </c>
      <c r="AY12" s="5" t="s">
        <v>14</v>
      </c>
      <c r="AZ12" s="5"/>
      <c r="BA12" s="25">
        <v>3</v>
      </c>
      <c r="BB12" s="5" t="s">
        <v>14</v>
      </c>
      <c r="BC12" s="5"/>
      <c r="BD12" s="25">
        <v>16</v>
      </c>
      <c r="BE12" s="5" t="s">
        <v>14</v>
      </c>
      <c r="BF12" s="5"/>
      <c r="BG12" s="25">
        <v>13</v>
      </c>
      <c r="BH12" s="4"/>
      <c r="BI12" s="5"/>
      <c r="BJ12" s="25">
        <v>18</v>
      </c>
      <c r="BK12" s="5"/>
      <c r="BL12" s="5"/>
      <c r="BM12" s="25">
        <v>20</v>
      </c>
      <c r="BN12" s="5" t="s">
        <v>14</v>
      </c>
      <c r="BO12" s="5"/>
      <c r="BP12" s="25">
        <f>7*18/14</f>
        <v>9</v>
      </c>
      <c r="BQ12" s="16"/>
      <c r="BR12" s="16" t="s">
        <v>88</v>
      </c>
      <c r="BS12" s="5"/>
      <c r="BT12" s="25">
        <v>9</v>
      </c>
      <c r="BU12" s="4"/>
    </row>
    <row r="13" spans="1:73" s="1" customFormat="1" ht="16.05" customHeight="1" x14ac:dyDescent="0.35">
      <c r="A13" s="14" t="s">
        <v>13</v>
      </c>
      <c r="B13" s="7">
        <f>Details!BQ3</f>
        <v>12.137254901960786</v>
      </c>
      <c r="C13" s="7">
        <f t="shared" si="1"/>
        <v>5.4779411764705896</v>
      </c>
      <c r="D13" s="10">
        <f t="shared" si="0"/>
        <v>7.3039215686274526</v>
      </c>
      <c r="E13" s="42">
        <f t="shared" ref="E13:E19" si="2">(B12-$B$4)/2</f>
        <v>3.2499999999999996</v>
      </c>
      <c r="F13" s="42">
        <f t="shared" ref="F13:F19" si="3">(B12-$B$4)*0.6/2</f>
        <v>1.9499999999999997</v>
      </c>
      <c r="G13" s="22"/>
      <c r="H13" s="25">
        <v>15</v>
      </c>
      <c r="I13" s="4" t="s">
        <v>14</v>
      </c>
      <c r="J13" s="5"/>
      <c r="K13" s="25">
        <v>24</v>
      </c>
      <c r="L13" s="4"/>
      <c r="M13" s="5"/>
      <c r="N13" s="25">
        <v>18</v>
      </c>
      <c r="O13" s="5"/>
      <c r="P13" s="5"/>
      <c r="Q13" s="25">
        <f>9</f>
        <v>9</v>
      </c>
      <c r="R13" s="4"/>
      <c r="S13" s="5"/>
      <c r="T13" s="25">
        <v>19</v>
      </c>
      <c r="U13" s="5"/>
      <c r="V13" s="5"/>
      <c r="W13" s="25">
        <v>22</v>
      </c>
      <c r="X13" s="5"/>
      <c r="Y13" s="5"/>
      <c r="Z13" s="25">
        <v>14</v>
      </c>
      <c r="AA13" s="16"/>
      <c r="AB13" s="5"/>
      <c r="AC13" s="5">
        <f>23*0.8</f>
        <v>18.400000000000002</v>
      </c>
      <c r="AD13" s="5" t="s">
        <v>14</v>
      </c>
      <c r="AE13" s="5"/>
      <c r="AF13" s="25">
        <v>18</v>
      </c>
      <c r="AG13" s="4"/>
      <c r="AH13" s="4"/>
      <c r="AI13" s="25">
        <v>15</v>
      </c>
      <c r="AJ13" s="4"/>
      <c r="AK13" s="5"/>
      <c r="AL13" s="25">
        <v>12</v>
      </c>
      <c r="AM13" s="4"/>
      <c r="AN13" s="4"/>
      <c r="AO13" s="25">
        <v>14</v>
      </c>
      <c r="AP13" s="4"/>
      <c r="AQ13" s="5"/>
      <c r="AR13" s="25">
        <v>13</v>
      </c>
      <c r="AS13" s="4"/>
      <c r="AT13" s="5"/>
      <c r="AU13" s="25">
        <v>7</v>
      </c>
      <c r="AV13" s="4"/>
      <c r="AW13" s="5"/>
      <c r="AX13" s="25">
        <v>15</v>
      </c>
      <c r="AY13" s="4"/>
      <c r="AZ13" s="5"/>
      <c r="BA13" s="25">
        <v>15</v>
      </c>
      <c r="BB13" s="4"/>
      <c r="BC13" s="5"/>
      <c r="BD13" s="25">
        <v>14</v>
      </c>
      <c r="BE13" s="4"/>
      <c r="BF13" s="5"/>
      <c r="BG13" s="25">
        <v>10</v>
      </c>
      <c r="BH13" s="4"/>
      <c r="BI13" s="5"/>
      <c r="BJ13" s="25">
        <v>22</v>
      </c>
      <c r="BK13" s="5"/>
      <c r="BL13" s="5"/>
      <c r="BM13" s="25">
        <v>11</v>
      </c>
      <c r="BN13" s="4"/>
      <c r="BO13" s="5"/>
      <c r="BP13" s="25">
        <v>10</v>
      </c>
      <c r="BQ13" s="16"/>
      <c r="BR13" s="16" t="s">
        <v>93</v>
      </c>
      <c r="BS13" s="5"/>
      <c r="BT13" s="25">
        <v>9</v>
      </c>
      <c r="BU13" s="4"/>
    </row>
    <row r="14" spans="1:73" s="1" customFormat="1" ht="16.05" customHeight="1" x14ac:dyDescent="0.35">
      <c r="A14" s="3" t="s">
        <v>19</v>
      </c>
      <c r="B14" s="7">
        <f>Details!AM3</f>
        <v>12.333333333333334</v>
      </c>
      <c r="C14" s="7">
        <f t="shared" si="1"/>
        <v>5.6250000000000009</v>
      </c>
      <c r="D14" s="10">
        <f t="shared" si="0"/>
        <v>7.5000000000000009</v>
      </c>
      <c r="E14" s="42">
        <f t="shared" si="2"/>
        <v>3.4852941176470593</v>
      </c>
      <c r="F14" s="42">
        <f t="shared" si="3"/>
        <v>2.0911764705882354</v>
      </c>
      <c r="G14" s="19" t="s">
        <v>14</v>
      </c>
      <c r="H14" s="25">
        <v>21</v>
      </c>
      <c r="I14" s="4"/>
      <c r="J14" s="5"/>
      <c r="K14" s="25">
        <v>14</v>
      </c>
      <c r="L14" s="4"/>
      <c r="M14" s="5"/>
      <c r="N14" s="25">
        <v>18</v>
      </c>
      <c r="O14" s="5"/>
      <c r="P14" s="5"/>
      <c r="Q14" s="25">
        <v>18</v>
      </c>
      <c r="R14" s="4"/>
      <c r="S14" s="5"/>
      <c r="T14" s="25">
        <v>18</v>
      </c>
      <c r="U14" s="5"/>
      <c r="V14" s="5"/>
      <c r="W14" s="25">
        <v>16</v>
      </c>
      <c r="X14" s="5"/>
      <c r="Y14" s="5"/>
      <c r="Z14" s="25">
        <v>13</v>
      </c>
      <c r="AA14" s="16"/>
      <c r="AB14" s="5"/>
      <c r="AC14" s="25">
        <v>18</v>
      </c>
      <c r="AD14" s="4"/>
      <c r="AE14" s="5"/>
      <c r="AF14" s="25">
        <v>8</v>
      </c>
      <c r="AG14" s="4"/>
      <c r="AH14" s="4"/>
      <c r="AI14" s="25">
        <v>11</v>
      </c>
      <c r="AJ14" s="4"/>
      <c r="AK14" s="5"/>
      <c r="AL14" s="25">
        <v>12</v>
      </c>
      <c r="AM14" s="4"/>
      <c r="AN14" s="4"/>
      <c r="AO14" s="25">
        <v>16</v>
      </c>
      <c r="AP14" s="4"/>
      <c r="AQ14" s="5"/>
      <c r="AR14" s="25">
        <v>17</v>
      </c>
      <c r="AS14" s="4"/>
      <c r="AT14" s="5"/>
      <c r="AU14" s="25">
        <v>5</v>
      </c>
      <c r="AV14" s="4"/>
      <c r="AW14" s="5"/>
      <c r="AX14" s="25">
        <v>18</v>
      </c>
      <c r="AY14" s="4"/>
      <c r="AZ14" s="5"/>
      <c r="BA14" s="25">
        <v>12</v>
      </c>
      <c r="BB14" s="4"/>
      <c r="BC14" s="5"/>
      <c r="BD14" s="25">
        <v>18</v>
      </c>
      <c r="BE14" s="4"/>
      <c r="BF14" s="5"/>
      <c r="BG14" s="25">
        <v>18</v>
      </c>
      <c r="BH14" s="4"/>
      <c r="BI14" s="5"/>
      <c r="BJ14" s="25">
        <v>13</v>
      </c>
      <c r="BK14" s="5"/>
      <c r="BL14" s="5"/>
      <c r="BM14" s="5">
        <f>16*1.1</f>
        <v>17.600000000000001</v>
      </c>
      <c r="BN14" s="4"/>
      <c r="BO14" s="5"/>
      <c r="BP14" s="25">
        <v>20</v>
      </c>
      <c r="BQ14" s="16"/>
      <c r="BR14" s="16" t="s">
        <v>76</v>
      </c>
      <c r="BS14" s="5"/>
      <c r="BT14" s="25">
        <v>18</v>
      </c>
      <c r="BU14" s="4"/>
    </row>
    <row r="15" spans="1:73" s="1" customFormat="1" ht="16.05" customHeight="1" x14ac:dyDescent="0.35">
      <c r="A15" s="3" t="s">
        <v>3</v>
      </c>
      <c r="B15" s="7">
        <f>Details!R3</f>
        <v>12.5</v>
      </c>
      <c r="C15" s="7">
        <f t="shared" si="1"/>
        <v>5.75</v>
      </c>
      <c r="D15" s="10">
        <f t="shared" si="0"/>
        <v>7.666666666666667</v>
      </c>
      <c r="E15" s="42">
        <f t="shared" si="2"/>
        <v>3.5833333333333335</v>
      </c>
      <c r="F15" s="42">
        <f t="shared" si="3"/>
        <v>2.15</v>
      </c>
      <c r="G15" s="20" t="s">
        <v>14</v>
      </c>
      <c r="H15" s="25">
        <v>10</v>
      </c>
      <c r="I15" s="4" t="s">
        <v>14</v>
      </c>
      <c r="J15" s="5"/>
      <c r="K15" s="25">
        <v>20</v>
      </c>
      <c r="L15" s="4"/>
      <c r="M15" s="5"/>
      <c r="N15" s="25">
        <v>12</v>
      </c>
      <c r="O15" s="5"/>
      <c r="P15" s="5"/>
      <c r="Q15" s="25">
        <v>12</v>
      </c>
      <c r="R15" s="4"/>
      <c r="S15" s="5"/>
      <c r="T15" s="5">
        <f>9*18/15</f>
        <v>10.8</v>
      </c>
      <c r="U15" s="5"/>
      <c r="V15" s="5"/>
      <c r="W15" s="25">
        <v>21</v>
      </c>
      <c r="X15" s="5"/>
      <c r="Y15" s="5"/>
      <c r="Z15" s="25">
        <v>7</v>
      </c>
      <c r="AA15" s="16"/>
      <c r="AB15" s="5"/>
      <c r="AC15" s="5">
        <f>18*1.1</f>
        <v>19.8</v>
      </c>
      <c r="AD15" s="5" t="s">
        <v>14</v>
      </c>
      <c r="AE15" s="5"/>
      <c r="AF15" s="25">
        <v>17</v>
      </c>
      <c r="AG15" s="4"/>
      <c r="AH15" s="4"/>
      <c r="AI15" s="25">
        <v>11</v>
      </c>
      <c r="AJ15" s="4"/>
      <c r="AK15" s="5"/>
      <c r="AL15" s="25">
        <v>15</v>
      </c>
      <c r="AM15" s="4"/>
      <c r="AN15" s="4"/>
      <c r="AO15" s="25">
        <v>10</v>
      </c>
      <c r="AP15" s="4"/>
      <c r="AQ15" s="5"/>
      <c r="AR15" s="25">
        <v>4</v>
      </c>
      <c r="AS15" s="4"/>
      <c r="AT15" s="5"/>
      <c r="AU15" s="25">
        <v>4</v>
      </c>
      <c r="AV15" s="4"/>
      <c r="AW15" s="5"/>
      <c r="AX15" s="25">
        <v>15</v>
      </c>
      <c r="AY15" s="4"/>
      <c r="AZ15" s="5"/>
      <c r="BA15" s="25">
        <v>8</v>
      </c>
      <c r="BB15" s="4"/>
      <c r="BC15" s="5"/>
      <c r="BD15" s="25">
        <v>14</v>
      </c>
      <c r="BE15" s="4"/>
      <c r="BF15" s="5"/>
      <c r="BG15" s="5">
        <f>13*18/16</f>
        <v>14.625</v>
      </c>
      <c r="BH15" s="4"/>
      <c r="BI15" s="5"/>
      <c r="BJ15" s="5">
        <f>15*18/17</f>
        <v>15.882352941176471</v>
      </c>
      <c r="BK15" s="5"/>
      <c r="BL15" s="5"/>
      <c r="BM15" s="25">
        <v>17</v>
      </c>
      <c r="BN15" s="4"/>
      <c r="BO15" s="5"/>
      <c r="BP15" s="25">
        <v>17</v>
      </c>
      <c r="BQ15" s="16"/>
      <c r="BR15" s="16" t="s">
        <v>87</v>
      </c>
      <c r="BS15" s="5"/>
      <c r="BT15" s="25">
        <v>10</v>
      </c>
      <c r="BU15" s="4"/>
    </row>
    <row r="16" spans="1:73" s="1" customFormat="1" ht="16.05" customHeight="1" x14ac:dyDescent="0.35">
      <c r="A16" s="3" t="s">
        <v>2</v>
      </c>
      <c r="B16" s="7">
        <f>Details!AP3</f>
        <v>12.833333333333334</v>
      </c>
      <c r="C16" s="7">
        <f t="shared" si="1"/>
        <v>6</v>
      </c>
      <c r="D16" s="10">
        <f t="shared" si="0"/>
        <v>8</v>
      </c>
      <c r="E16" s="42">
        <f t="shared" si="2"/>
        <v>3.6666666666666665</v>
      </c>
      <c r="F16" s="42">
        <f t="shared" si="3"/>
        <v>2.1999999999999997</v>
      </c>
      <c r="G16" s="19" t="s">
        <v>14</v>
      </c>
      <c r="H16" s="26">
        <v>23</v>
      </c>
      <c r="I16" s="4"/>
      <c r="J16" s="5"/>
      <c r="K16" s="26">
        <v>16</v>
      </c>
      <c r="L16" s="4"/>
      <c r="M16" s="5"/>
      <c r="N16" s="26">
        <v>14</v>
      </c>
      <c r="O16" s="4" t="s">
        <v>14</v>
      </c>
      <c r="P16" s="5"/>
      <c r="Q16" s="26">
        <v>11</v>
      </c>
      <c r="R16" s="4"/>
      <c r="S16" s="5"/>
      <c r="T16" s="26">
        <v>12</v>
      </c>
      <c r="U16" s="5"/>
      <c r="V16" s="5"/>
      <c r="W16" s="26">
        <v>20</v>
      </c>
      <c r="X16" s="5"/>
      <c r="Y16" s="5"/>
      <c r="Z16" s="26">
        <v>10</v>
      </c>
      <c r="AA16" s="17"/>
      <c r="AB16" s="5"/>
      <c r="AC16" s="26">
        <v>22</v>
      </c>
      <c r="AD16" s="5" t="s">
        <v>14</v>
      </c>
      <c r="AE16" s="5"/>
      <c r="AF16" s="26">
        <v>11</v>
      </c>
      <c r="AG16" s="4"/>
      <c r="AH16" s="4"/>
      <c r="AI16" s="6">
        <f>8*18/15</f>
        <v>9.6</v>
      </c>
      <c r="AJ16" s="4"/>
      <c r="AK16" s="5"/>
      <c r="AL16" s="26">
        <v>11</v>
      </c>
      <c r="AM16" s="4"/>
      <c r="AN16" s="4"/>
      <c r="AO16" s="26">
        <v>11</v>
      </c>
      <c r="AP16" s="4"/>
      <c r="AQ16" s="5"/>
      <c r="AR16" s="26">
        <v>3</v>
      </c>
      <c r="AS16" s="4"/>
      <c r="AT16" s="5"/>
      <c r="AU16" s="26">
        <v>11</v>
      </c>
      <c r="AV16" s="4"/>
      <c r="AW16" s="5"/>
      <c r="AX16" s="26">
        <v>19</v>
      </c>
      <c r="AY16" s="4"/>
      <c r="AZ16" s="5"/>
      <c r="BA16" s="26">
        <v>10</v>
      </c>
      <c r="BB16" s="4"/>
      <c r="BC16" s="5"/>
      <c r="BD16" s="26">
        <v>20</v>
      </c>
      <c r="BE16" s="4"/>
      <c r="BF16" s="5"/>
      <c r="BG16" s="6">
        <f>13*18/16</f>
        <v>14.625</v>
      </c>
      <c r="BH16" s="4"/>
      <c r="BI16" s="5"/>
      <c r="BJ16" s="26">
        <v>13</v>
      </c>
      <c r="BK16" s="5"/>
      <c r="BL16" s="5"/>
      <c r="BM16" s="6">
        <f>11*18/14</f>
        <v>14.142857142857142</v>
      </c>
      <c r="BN16" s="4"/>
      <c r="BO16" s="5"/>
      <c r="BP16" s="26">
        <v>14</v>
      </c>
      <c r="BQ16" s="17"/>
      <c r="BR16" s="17" t="s">
        <v>86</v>
      </c>
      <c r="BS16" s="5"/>
      <c r="BT16" s="26">
        <v>15</v>
      </c>
      <c r="BU16" s="5"/>
    </row>
    <row r="17" spans="1:73" s="68" customFormat="1" ht="16.05" customHeight="1" x14ac:dyDescent="0.35">
      <c r="A17" s="14" t="s">
        <v>111</v>
      </c>
      <c r="B17" s="7">
        <f>Details!BE3</f>
        <v>13.142857142857144</v>
      </c>
      <c r="C17" s="61">
        <f t="shared" si="1"/>
        <v>6.2321428571428577</v>
      </c>
      <c r="D17" s="62">
        <f t="shared" si="0"/>
        <v>8.3095238095238102</v>
      </c>
      <c r="E17" s="63">
        <f t="shared" si="2"/>
        <v>3.8333333333333335</v>
      </c>
      <c r="F17" s="63">
        <f t="shared" si="3"/>
        <v>2.2999999999999998</v>
      </c>
      <c r="G17" s="64" t="s">
        <v>14</v>
      </c>
      <c r="H17" s="65">
        <v>13</v>
      </c>
      <c r="I17" s="66"/>
      <c r="J17" s="66"/>
      <c r="K17" s="65">
        <v>21</v>
      </c>
      <c r="L17" s="66"/>
      <c r="M17" s="66"/>
      <c r="N17" s="65">
        <v>17</v>
      </c>
      <c r="O17" s="66"/>
      <c r="P17" s="66"/>
      <c r="Q17" s="65">
        <v>17</v>
      </c>
      <c r="R17" s="66"/>
      <c r="S17" s="66"/>
      <c r="T17" s="65">
        <v>14</v>
      </c>
      <c r="U17" s="66"/>
      <c r="V17" s="66"/>
      <c r="W17" s="65">
        <v>15</v>
      </c>
      <c r="X17" s="66"/>
      <c r="Y17" s="66"/>
      <c r="Z17" s="65">
        <v>12</v>
      </c>
      <c r="AA17" s="66"/>
      <c r="AB17" s="66"/>
      <c r="AC17" s="65">
        <v>15</v>
      </c>
      <c r="AD17" s="66" t="s">
        <v>14</v>
      </c>
      <c r="AE17" s="66"/>
      <c r="AF17" s="65">
        <v>17</v>
      </c>
      <c r="AG17" s="66"/>
      <c r="AH17" s="66"/>
      <c r="AI17" s="65">
        <v>10</v>
      </c>
      <c r="AJ17" s="66"/>
      <c r="AK17" s="66"/>
      <c r="AL17" s="65">
        <v>6</v>
      </c>
      <c r="AM17" s="66"/>
      <c r="AN17" s="66"/>
      <c r="AO17" s="65">
        <v>12</v>
      </c>
      <c r="AP17" s="66"/>
      <c r="AQ17" s="66"/>
      <c r="AR17" s="65">
        <v>10</v>
      </c>
      <c r="AS17" s="66"/>
      <c r="AT17" s="66"/>
      <c r="AU17" s="65">
        <v>5</v>
      </c>
      <c r="AV17" s="66"/>
      <c r="AW17" s="66"/>
      <c r="AX17" s="65">
        <v>20</v>
      </c>
      <c r="AY17" s="66"/>
      <c r="AZ17" s="66"/>
      <c r="BA17" s="65">
        <v>6</v>
      </c>
      <c r="BB17" s="66"/>
      <c r="BC17" s="66"/>
      <c r="BD17" s="65">
        <v>18</v>
      </c>
      <c r="BE17" s="66"/>
      <c r="BF17" s="66"/>
      <c r="BG17" s="65">
        <v>16</v>
      </c>
      <c r="BH17" s="66"/>
      <c r="BI17" s="66"/>
      <c r="BJ17" s="65">
        <v>11</v>
      </c>
      <c r="BK17" s="66"/>
      <c r="BL17" s="66"/>
      <c r="BM17" s="65">
        <v>20</v>
      </c>
      <c r="BN17" s="66"/>
      <c r="BO17" s="66"/>
      <c r="BP17" s="65">
        <v>18</v>
      </c>
      <c r="BQ17" s="67"/>
      <c r="BR17" s="67" t="s">
        <v>85</v>
      </c>
      <c r="BS17" s="66"/>
      <c r="BT17" s="65">
        <v>13</v>
      </c>
      <c r="BU17" s="66"/>
    </row>
    <row r="18" spans="1:73" s="72" customFormat="1" ht="16.05" customHeight="1" x14ac:dyDescent="0.35">
      <c r="A18" s="69" t="s">
        <v>9</v>
      </c>
      <c r="B18" s="61">
        <f>Details!BH3</f>
        <v>13.375</v>
      </c>
      <c r="C18" s="61">
        <f t="shared" si="1"/>
        <v>6.4062500000000009</v>
      </c>
      <c r="D18" s="62">
        <f t="shared" si="0"/>
        <v>8.5416666666666679</v>
      </c>
      <c r="E18" s="63">
        <f t="shared" si="2"/>
        <v>3.9880952380952386</v>
      </c>
      <c r="F18" s="63">
        <f t="shared" si="3"/>
        <v>2.3928571428571432</v>
      </c>
      <c r="G18" s="70" t="s">
        <v>14</v>
      </c>
      <c r="H18" s="65">
        <v>14</v>
      </c>
      <c r="I18" s="66"/>
      <c r="J18" s="66"/>
      <c r="K18" s="65">
        <v>17</v>
      </c>
      <c r="L18" s="66"/>
      <c r="M18" s="66"/>
      <c r="N18" s="65">
        <v>17</v>
      </c>
      <c r="O18" s="66"/>
      <c r="P18" s="66"/>
      <c r="Q18" s="65">
        <v>15</v>
      </c>
      <c r="R18" s="66"/>
      <c r="S18" s="66"/>
      <c r="T18" s="65">
        <v>13</v>
      </c>
      <c r="U18" s="66"/>
      <c r="V18" s="66"/>
      <c r="W18" s="65">
        <v>19</v>
      </c>
      <c r="X18" s="66"/>
      <c r="Y18" s="66"/>
      <c r="Z18" s="65">
        <v>17</v>
      </c>
      <c r="AA18" s="66"/>
      <c r="AB18" s="66"/>
      <c r="AC18" s="71">
        <f>12*18/15</f>
        <v>14.4</v>
      </c>
      <c r="AD18" s="66" t="s">
        <v>14</v>
      </c>
      <c r="AE18" s="66"/>
      <c r="AF18" s="71">
        <f>12*1.1</f>
        <v>13.200000000000001</v>
      </c>
      <c r="AG18" s="66"/>
      <c r="AH18" s="66"/>
      <c r="AI18" s="71">
        <f>12*1.2</f>
        <v>14.399999999999999</v>
      </c>
      <c r="AJ18" s="66"/>
      <c r="AK18" s="66"/>
      <c r="AL18" s="65">
        <v>16</v>
      </c>
      <c r="AM18" s="66"/>
      <c r="AN18" s="66"/>
      <c r="AO18" s="65">
        <v>8</v>
      </c>
      <c r="AP18" s="66"/>
      <c r="AQ18" s="66"/>
      <c r="AR18" s="65">
        <v>8</v>
      </c>
      <c r="AS18" s="66"/>
      <c r="AT18" s="66"/>
      <c r="AU18" s="65">
        <v>6</v>
      </c>
      <c r="AV18" s="66"/>
      <c r="AW18" s="66"/>
      <c r="AX18" s="65">
        <v>22</v>
      </c>
      <c r="AY18" s="66"/>
      <c r="AZ18" s="66"/>
      <c r="BA18" s="65">
        <v>10</v>
      </c>
      <c r="BB18" s="66"/>
      <c r="BC18" s="66"/>
      <c r="BD18" s="65">
        <v>19</v>
      </c>
      <c r="BE18" s="66"/>
      <c r="BF18" s="66"/>
      <c r="BG18" s="65">
        <v>17</v>
      </c>
      <c r="BH18" s="66"/>
      <c r="BI18" s="66"/>
      <c r="BJ18" s="65">
        <v>14</v>
      </c>
      <c r="BK18" s="66"/>
      <c r="BL18" s="66"/>
      <c r="BM18" s="65">
        <v>20</v>
      </c>
      <c r="BN18" s="66"/>
      <c r="BO18" s="66"/>
      <c r="BP18" s="65">
        <v>13</v>
      </c>
      <c r="BQ18" s="67"/>
      <c r="BR18" s="67" t="s">
        <v>77</v>
      </c>
      <c r="BS18" s="66"/>
      <c r="BT18" s="65">
        <v>18</v>
      </c>
      <c r="BU18" s="66"/>
    </row>
    <row r="19" spans="1:73" s="56" customFormat="1" ht="16.05" customHeight="1" x14ac:dyDescent="0.35">
      <c r="A19" s="3" t="s">
        <v>18</v>
      </c>
      <c r="B19" s="7">
        <f>Details!L3</f>
        <v>13.666666666666666</v>
      </c>
      <c r="C19" s="7">
        <f t="shared" si="1"/>
        <v>6.6249999999999991</v>
      </c>
      <c r="D19" s="10">
        <f t="shared" si="0"/>
        <v>8.8333333333333321</v>
      </c>
      <c r="E19" s="42">
        <f t="shared" si="2"/>
        <v>4.1041666666666661</v>
      </c>
      <c r="F19" s="42">
        <f t="shared" si="3"/>
        <v>2.4624999999999995</v>
      </c>
      <c r="G19" s="55"/>
      <c r="H19" s="5">
        <f>15*1.1</f>
        <v>16.5</v>
      </c>
      <c r="I19" s="54"/>
      <c r="J19" s="54"/>
      <c r="K19" s="25">
        <v>16</v>
      </c>
      <c r="L19" s="54"/>
      <c r="M19" s="54"/>
      <c r="N19" s="25">
        <v>10</v>
      </c>
      <c r="O19" s="54" t="s">
        <v>14</v>
      </c>
      <c r="P19" s="54"/>
      <c r="Q19" s="25">
        <v>14</v>
      </c>
      <c r="R19" s="54"/>
      <c r="S19" s="54"/>
      <c r="T19" s="25">
        <v>13</v>
      </c>
      <c r="U19" s="54"/>
      <c r="V19" s="54"/>
      <c r="W19" s="25">
        <v>19</v>
      </c>
      <c r="X19" s="54"/>
      <c r="Y19" s="54"/>
      <c r="Z19" s="25">
        <v>14</v>
      </c>
      <c r="AA19" s="54"/>
      <c r="AB19" s="54"/>
      <c r="AC19" s="25">
        <v>18</v>
      </c>
      <c r="AD19" s="54"/>
      <c r="AE19" s="54"/>
      <c r="AF19" s="5">
        <f>13*1.1</f>
        <v>14.3</v>
      </c>
      <c r="AG19" s="54"/>
      <c r="AH19" s="54"/>
      <c r="AI19" s="25">
        <v>12</v>
      </c>
      <c r="AJ19" s="54"/>
      <c r="AK19" s="54"/>
      <c r="AL19" s="25">
        <v>8</v>
      </c>
      <c r="AM19" s="54"/>
      <c r="AN19" s="54"/>
      <c r="AO19" s="25">
        <v>11</v>
      </c>
      <c r="AP19" s="54"/>
      <c r="AQ19" s="54"/>
      <c r="AR19" s="25">
        <v>21</v>
      </c>
      <c r="AS19" s="54"/>
      <c r="AT19" s="54"/>
      <c r="AU19" s="25">
        <v>6</v>
      </c>
      <c r="AV19" s="54"/>
      <c r="AW19" s="54"/>
      <c r="AX19" s="25">
        <v>16</v>
      </c>
      <c r="AY19" s="54"/>
      <c r="AZ19" s="54"/>
      <c r="BA19" s="25">
        <v>5</v>
      </c>
      <c r="BB19" s="54"/>
      <c r="BC19" s="54"/>
      <c r="BD19" s="25">
        <v>10</v>
      </c>
      <c r="BE19" s="54"/>
      <c r="BF19" s="54"/>
      <c r="BG19" s="25">
        <v>16</v>
      </c>
      <c r="BH19" s="54"/>
      <c r="BI19" s="54"/>
      <c r="BJ19" s="5">
        <f>8*18/14</f>
        <v>10.285714285714286</v>
      </c>
      <c r="BK19" s="54"/>
      <c r="BL19" s="54"/>
      <c r="BM19" s="25">
        <v>16</v>
      </c>
      <c r="BN19" s="54"/>
      <c r="BO19" s="54"/>
      <c r="BP19" s="5">
        <f>15*18/16</f>
        <v>16.875</v>
      </c>
      <c r="BQ19" s="4"/>
      <c r="BR19" s="4" t="s">
        <v>82</v>
      </c>
      <c r="BS19" s="54"/>
      <c r="BT19" s="25">
        <v>17</v>
      </c>
      <c r="BU19" s="54"/>
    </row>
    <row r="20" spans="1:73" s="56" customFormat="1" ht="16.05" customHeight="1" x14ac:dyDescent="0.35">
      <c r="A20" s="10" t="s">
        <v>15</v>
      </c>
      <c r="B20" s="7">
        <f>Details!O3</f>
        <v>14.333333333333334</v>
      </c>
      <c r="C20" s="7">
        <f t="shared" si="1"/>
        <v>7.125</v>
      </c>
      <c r="D20" s="10">
        <f t="shared" si="0"/>
        <v>9.5</v>
      </c>
      <c r="E20" s="42" t="e">
        <f>(#REF!-$B$4)/2</f>
        <v>#REF!</v>
      </c>
      <c r="F20" s="42" t="e">
        <f>(#REF!-$B$4)*0.6/2</f>
        <v>#REF!</v>
      </c>
      <c r="G20" s="55"/>
      <c r="H20" s="25">
        <v>20</v>
      </c>
      <c r="I20" s="54"/>
      <c r="J20" s="54"/>
      <c r="K20" s="25">
        <v>15</v>
      </c>
      <c r="L20" s="54"/>
      <c r="M20" s="54"/>
      <c r="N20" s="5">
        <v>17</v>
      </c>
      <c r="O20" s="54"/>
      <c r="P20" s="54"/>
      <c r="Q20" s="25">
        <v>18</v>
      </c>
      <c r="R20" s="54"/>
      <c r="S20" s="54"/>
      <c r="T20" s="25">
        <v>12</v>
      </c>
      <c r="U20" s="54"/>
      <c r="V20" s="54"/>
      <c r="W20" s="25">
        <v>15</v>
      </c>
      <c r="X20" s="57"/>
      <c r="Y20" s="57"/>
      <c r="Z20" s="25">
        <v>8</v>
      </c>
      <c r="AA20" s="4"/>
      <c r="AB20" s="54"/>
      <c r="AC20" s="25">
        <v>16</v>
      </c>
      <c r="AD20" s="54"/>
      <c r="AE20" s="54"/>
      <c r="AF20" s="25">
        <v>11</v>
      </c>
      <c r="AG20" s="54"/>
      <c r="AH20" s="54"/>
      <c r="AI20" s="25">
        <v>14</v>
      </c>
      <c r="AJ20" s="54"/>
      <c r="AK20" s="54"/>
      <c r="AL20" s="25">
        <v>13</v>
      </c>
      <c r="AM20" s="54"/>
      <c r="AN20" s="54"/>
      <c r="AO20" s="25">
        <v>17</v>
      </c>
      <c r="AP20" s="54"/>
      <c r="AQ20" s="54"/>
      <c r="AR20" s="25">
        <v>3</v>
      </c>
      <c r="AS20" s="54"/>
      <c r="AT20" s="54"/>
      <c r="AU20" s="25">
        <v>8</v>
      </c>
      <c r="AV20" s="54"/>
      <c r="AW20" s="54"/>
      <c r="AX20" s="25">
        <v>17</v>
      </c>
      <c r="AY20" s="54"/>
      <c r="AZ20" s="54"/>
      <c r="BA20" s="25">
        <v>6</v>
      </c>
      <c r="BB20" s="54"/>
      <c r="BC20" s="54"/>
      <c r="BD20" s="25">
        <v>12</v>
      </c>
      <c r="BE20" s="54"/>
      <c r="BF20" s="54"/>
      <c r="BG20" s="25">
        <v>14</v>
      </c>
      <c r="BH20" s="54"/>
      <c r="BI20" s="54"/>
      <c r="BJ20" s="25">
        <v>11</v>
      </c>
      <c r="BK20" s="54" t="s">
        <v>14</v>
      </c>
      <c r="BL20" s="54"/>
      <c r="BM20" s="25">
        <v>18</v>
      </c>
      <c r="BN20" s="54"/>
      <c r="BO20" s="54"/>
      <c r="BP20" s="25">
        <v>17</v>
      </c>
      <c r="BQ20" s="16"/>
      <c r="BR20" s="16" t="s">
        <v>84</v>
      </c>
      <c r="BS20" s="54"/>
      <c r="BT20" s="25">
        <v>5</v>
      </c>
      <c r="BU20" s="54"/>
    </row>
    <row r="21" spans="1:73" s="56" customFormat="1" ht="16.05" customHeight="1" x14ac:dyDescent="0.35">
      <c r="A21" s="3" t="s">
        <v>5</v>
      </c>
      <c r="B21" s="7">
        <f>Details!AD3</f>
        <v>14.928571428571429</v>
      </c>
      <c r="C21" s="7">
        <f t="shared" si="1"/>
        <v>7.5714285714285712</v>
      </c>
      <c r="D21" s="10">
        <f t="shared" si="0"/>
        <v>10.095238095238095</v>
      </c>
      <c r="E21" s="42">
        <f>(B19-$B$4)/2</f>
        <v>4.25</v>
      </c>
      <c r="F21" s="42">
        <f>(B19-$B$4)*0.6/2</f>
        <v>2.5499999999999998</v>
      </c>
      <c r="G21" s="55"/>
      <c r="H21" s="25">
        <v>7</v>
      </c>
      <c r="I21" s="4"/>
      <c r="J21" s="5"/>
      <c r="K21" s="25">
        <v>14</v>
      </c>
      <c r="L21" s="5"/>
      <c r="M21" s="5"/>
      <c r="N21" s="25">
        <v>12</v>
      </c>
      <c r="O21" s="5"/>
      <c r="P21" s="5"/>
      <c r="Q21" s="25">
        <v>16</v>
      </c>
      <c r="R21" s="5"/>
      <c r="S21" s="5"/>
      <c r="T21" s="5">
        <f>13*0.8</f>
        <v>10.4</v>
      </c>
      <c r="U21" s="5"/>
      <c r="V21" s="5"/>
      <c r="W21" s="25">
        <v>11</v>
      </c>
      <c r="X21" s="5"/>
      <c r="Y21" s="5"/>
      <c r="Z21" s="25">
        <v>18</v>
      </c>
      <c r="AA21" s="4"/>
      <c r="AB21" s="5"/>
      <c r="AC21" s="25">
        <v>10</v>
      </c>
      <c r="AD21" s="4"/>
      <c r="AE21" s="5"/>
      <c r="AF21" s="25">
        <v>20</v>
      </c>
      <c r="AG21" s="5"/>
      <c r="AH21" s="5"/>
      <c r="AI21" s="25">
        <v>18</v>
      </c>
      <c r="AJ21" s="5"/>
      <c r="AK21" s="5"/>
      <c r="AL21" s="25">
        <v>15</v>
      </c>
      <c r="AM21" s="5"/>
      <c r="AN21" s="5"/>
      <c r="AO21" s="25">
        <v>13</v>
      </c>
      <c r="AP21" s="5"/>
      <c r="AQ21" s="5"/>
      <c r="AR21" s="25">
        <v>7</v>
      </c>
      <c r="AS21" s="5"/>
      <c r="AT21" s="5"/>
      <c r="AU21" s="25">
        <v>5</v>
      </c>
      <c r="AV21" s="5"/>
      <c r="AW21" s="5"/>
      <c r="AX21" s="25">
        <v>19</v>
      </c>
      <c r="AY21" s="5"/>
      <c r="AZ21" s="5"/>
      <c r="BA21" s="25">
        <v>9</v>
      </c>
      <c r="BB21" s="5"/>
      <c r="BC21" s="5"/>
      <c r="BD21" s="25">
        <v>18</v>
      </c>
      <c r="BE21" s="5"/>
      <c r="BF21" s="5"/>
      <c r="BG21" s="25">
        <v>18</v>
      </c>
      <c r="BH21" s="5"/>
      <c r="BI21" s="5"/>
      <c r="BJ21" s="25">
        <v>8</v>
      </c>
      <c r="BK21" s="5" t="s">
        <v>14</v>
      </c>
      <c r="BL21" s="5"/>
      <c r="BM21" s="25">
        <v>18</v>
      </c>
      <c r="BN21" s="5"/>
      <c r="BO21" s="5"/>
      <c r="BP21" s="25">
        <v>10</v>
      </c>
      <c r="BQ21" s="54"/>
      <c r="BR21" s="54" t="s">
        <v>83</v>
      </c>
      <c r="BS21" s="5"/>
      <c r="BT21" s="25">
        <v>15</v>
      </c>
      <c r="BU21" s="5"/>
    </row>
    <row r="22" spans="1:73" s="1" customFormat="1" ht="16.05" customHeight="1" x14ac:dyDescent="0.35">
      <c r="A22" s="14" t="s">
        <v>137</v>
      </c>
      <c r="B22" s="7">
        <f>Details!X3</f>
        <v>15.333333333333334</v>
      </c>
      <c r="C22" s="7">
        <f t="shared" si="1"/>
        <v>7.875</v>
      </c>
      <c r="D22" s="10">
        <f t="shared" si="0"/>
        <v>10.5</v>
      </c>
      <c r="E22" s="42">
        <f>(B20-$B$4)/2</f>
        <v>4.5833333333333339</v>
      </c>
      <c r="F22" s="42">
        <f>(B20-$B$4)*0.6/2</f>
        <v>2.7500000000000004</v>
      </c>
      <c r="G22" s="53" t="s">
        <v>14</v>
      </c>
      <c r="H22" s="25">
        <v>22</v>
      </c>
      <c r="I22" s="4"/>
      <c r="J22" s="5"/>
      <c r="K22" s="25">
        <v>9</v>
      </c>
      <c r="L22" s="5"/>
      <c r="M22" s="5"/>
      <c r="N22" s="25">
        <v>7</v>
      </c>
      <c r="O22" s="5"/>
      <c r="P22" s="5"/>
      <c r="Q22" s="25">
        <v>13</v>
      </c>
      <c r="R22" s="5"/>
      <c r="S22" s="5"/>
      <c r="T22" s="25">
        <f>20*0.8</f>
        <v>16</v>
      </c>
      <c r="U22" s="5"/>
      <c r="V22" s="5"/>
      <c r="W22" s="25">
        <v>20</v>
      </c>
      <c r="X22" s="5"/>
      <c r="Y22" s="5"/>
      <c r="Z22" s="25">
        <v>15</v>
      </c>
      <c r="AA22" s="30"/>
      <c r="AB22" s="5"/>
      <c r="AC22" s="25">
        <v>10</v>
      </c>
      <c r="AD22" s="4"/>
      <c r="AE22" s="5"/>
      <c r="AF22" s="25">
        <v>16</v>
      </c>
      <c r="AG22" s="5"/>
      <c r="AH22" s="5"/>
      <c r="AI22" s="25">
        <v>8</v>
      </c>
      <c r="AJ22" s="5"/>
      <c r="AK22" s="5"/>
      <c r="AL22" s="25">
        <v>11</v>
      </c>
      <c r="AM22" s="5"/>
      <c r="AN22" s="5"/>
      <c r="AO22" s="25">
        <v>16</v>
      </c>
      <c r="AP22" s="5"/>
      <c r="AQ22" s="5"/>
      <c r="AR22" s="25">
        <v>6</v>
      </c>
      <c r="AS22" s="5"/>
      <c r="AT22" s="5"/>
      <c r="AU22" s="25">
        <v>8</v>
      </c>
      <c r="AV22" s="5"/>
      <c r="AW22" s="5"/>
      <c r="AX22" s="25">
        <v>14</v>
      </c>
      <c r="AY22" s="5"/>
      <c r="AZ22" s="5"/>
      <c r="BA22" s="25">
        <v>10</v>
      </c>
      <c r="BB22" s="5"/>
      <c r="BC22" s="5"/>
      <c r="BD22" s="25">
        <v>13</v>
      </c>
      <c r="BE22" s="5"/>
      <c r="BF22" s="5"/>
      <c r="BG22" s="25">
        <v>20</v>
      </c>
      <c r="BH22" s="5"/>
      <c r="BI22" s="5"/>
      <c r="BJ22" s="25">
        <v>10</v>
      </c>
      <c r="BK22" s="5" t="s">
        <v>14</v>
      </c>
      <c r="BL22" s="5"/>
      <c r="BM22" s="25">
        <v>6</v>
      </c>
      <c r="BN22" s="5"/>
      <c r="BO22" s="5"/>
      <c r="BP22" s="25">
        <v>15</v>
      </c>
      <c r="BQ22" s="4"/>
      <c r="BR22" s="4" t="s">
        <v>78</v>
      </c>
      <c r="BS22" s="5"/>
      <c r="BT22" s="25">
        <v>17</v>
      </c>
      <c r="BU22" s="5"/>
    </row>
    <row r="23" spans="1:73" s="1" customFormat="1" ht="16.05" customHeight="1" x14ac:dyDescent="0.35">
      <c r="A23" s="14" t="s">
        <v>10</v>
      </c>
      <c r="B23" s="7">
        <f>Details!AY3</f>
        <v>15.738095238095239</v>
      </c>
      <c r="C23" s="7">
        <f t="shared" si="1"/>
        <v>8.1785714285714288</v>
      </c>
      <c r="D23" s="10">
        <f t="shared" si="0"/>
        <v>10.904761904761905</v>
      </c>
      <c r="E23" s="42">
        <f>(B21-$B$4)/2</f>
        <v>4.8809523809523814</v>
      </c>
      <c r="F23" s="42">
        <f>(B21-$B$4)*0.6/2</f>
        <v>2.9285714285714288</v>
      </c>
      <c r="G23" s="53" t="s">
        <v>14</v>
      </c>
      <c r="H23" s="25">
        <v>21</v>
      </c>
      <c r="I23" s="30"/>
      <c r="J23" s="30"/>
      <c r="K23" s="25">
        <v>16</v>
      </c>
      <c r="L23" s="30"/>
      <c r="M23" s="30"/>
      <c r="N23" s="25">
        <v>13</v>
      </c>
      <c r="O23" s="30"/>
      <c r="P23" s="30"/>
      <c r="Q23" s="25">
        <v>13</v>
      </c>
      <c r="R23" s="30"/>
      <c r="S23" s="30"/>
      <c r="T23" s="25">
        <v>12</v>
      </c>
      <c r="U23" s="30"/>
      <c r="V23" s="30"/>
      <c r="W23" s="25">
        <v>17</v>
      </c>
      <c r="X23" s="25"/>
      <c r="Y23" s="25"/>
      <c r="Z23" s="25">
        <v>15</v>
      </c>
      <c r="AA23" s="30"/>
      <c r="AB23" s="30"/>
      <c r="AC23" s="25">
        <v>13</v>
      </c>
      <c r="AD23" s="30"/>
      <c r="AE23" s="30"/>
      <c r="AF23" s="25">
        <v>13</v>
      </c>
      <c r="AG23" s="30"/>
      <c r="AH23" s="30"/>
      <c r="AI23" s="5">
        <f>13*1.1</f>
        <v>14.3</v>
      </c>
      <c r="AJ23" s="30"/>
      <c r="AK23" s="30"/>
      <c r="AL23" s="25">
        <v>13</v>
      </c>
      <c r="AM23" s="30"/>
      <c r="AN23" s="30"/>
      <c r="AO23" s="25">
        <v>15</v>
      </c>
      <c r="AP23" s="30"/>
      <c r="AQ23" s="30"/>
      <c r="AR23" s="25">
        <v>14</v>
      </c>
      <c r="AS23" s="30"/>
      <c r="AT23" s="30"/>
      <c r="AU23" s="25">
        <v>12</v>
      </c>
      <c r="AV23" s="30"/>
      <c r="AW23" s="30"/>
      <c r="AX23" s="25">
        <v>16</v>
      </c>
      <c r="AY23" s="30"/>
      <c r="AZ23" s="30"/>
      <c r="BA23" s="25">
        <v>3</v>
      </c>
      <c r="BB23" s="30"/>
      <c r="BC23" s="30"/>
      <c r="BD23" s="25">
        <v>9</v>
      </c>
      <c r="BE23" s="30"/>
      <c r="BF23" s="30"/>
      <c r="BG23" s="25">
        <v>16</v>
      </c>
      <c r="BH23" s="30"/>
      <c r="BI23" s="30"/>
      <c r="BJ23" s="25">
        <v>11</v>
      </c>
      <c r="BK23" s="30"/>
      <c r="BL23" s="30"/>
      <c r="BM23" s="25">
        <v>18</v>
      </c>
      <c r="BN23" s="30"/>
      <c r="BO23" s="30"/>
      <c r="BP23" s="25">
        <v>13</v>
      </c>
      <c r="BQ23" s="4"/>
      <c r="BR23" s="4" t="s">
        <v>80</v>
      </c>
      <c r="BS23" s="30"/>
      <c r="BT23" s="25">
        <v>20</v>
      </c>
      <c r="BU23" s="30"/>
    </row>
    <row r="24" spans="1:73" ht="16.05" customHeight="1" x14ac:dyDescent="0.35">
      <c r="E24" s="42">
        <f>(B22-$B$4)/2</f>
        <v>5.0833333333333339</v>
      </c>
      <c r="F24" s="42">
        <f>(B22-$B$4)*0.6/2</f>
        <v>3.0500000000000003</v>
      </c>
      <c r="G24" s="21" t="s">
        <v>14</v>
      </c>
      <c r="H24" s="25">
        <v>9</v>
      </c>
      <c r="I24" s="30"/>
      <c r="J24" s="30"/>
      <c r="K24" s="25">
        <v>14</v>
      </c>
      <c r="L24" s="30"/>
      <c r="M24" s="30"/>
      <c r="N24" s="25">
        <v>13</v>
      </c>
      <c r="O24" s="30"/>
      <c r="P24" s="30"/>
      <c r="Q24" s="25">
        <v>14</v>
      </c>
      <c r="R24" s="30"/>
      <c r="S24" s="30"/>
      <c r="T24" s="25">
        <f>7*18/14</f>
        <v>9</v>
      </c>
      <c r="U24" s="30"/>
      <c r="V24" s="30"/>
      <c r="W24" s="25">
        <v>15</v>
      </c>
      <c r="X24" s="25"/>
      <c r="Y24" s="25"/>
      <c r="Z24" s="5">
        <f>7*18/15</f>
        <v>8.4</v>
      </c>
      <c r="AA24" s="30"/>
      <c r="AB24" s="30"/>
      <c r="AC24" s="25">
        <v>15</v>
      </c>
      <c r="AD24" s="30"/>
      <c r="AE24" s="30"/>
      <c r="AF24" s="25">
        <v>16</v>
      </c>
      <c r="AG24" s="30"/>
      <c r="AH24" s="30"/>
      <c r="AI24" s="25">
        <v>5</v>
      </c>
      <c r="AJ24" s="30"/>
      <c r="AK24" s="30"/>
      <c r="AL24" s="25">
        <v>13</v>
      </c>
      <c r="AM24" s="30"/>
      <c r="AN24" s="30"/>
      <c r="AO24" s="25">
        <v>12</v>
      </c>
      <c r="AP24" s="30"/>
      <c r="AQ24" s="30"/>
      <c r="AR24" s="25">
        <v>6</v>
      </c>
      <c r="AS24" s="30"/>
      <c r="AT24" s="30"/>
      <c r="AU24" s="25">
        <v>14</v>
      </c>
      <c r="AV24" s="30"/>
      <c r="AW24" s="30"/>
      <c r="AX24" s="25">
        <v>22</v>
      </c>
      <c r="AY24" s="30"/>
      <c r="AZ24" s="30"/>
      <c r="BA24" s="25">
        <v>6</v>
      </c>
      <c r="BB24" s="30"/>
      <c r="BC24" s="30"/>
      <c r="BD24" s="25">
        <v>16</v>
      </c>
      <c r="BE24" s="30"/>
      <c r="BF24" s="30"/>
      <c r="BG24" s="25">
        <v>19</v>
      </c>
      <c r="BH24" s="30"/>
      <c r="BI24" s="30"/>
      <c r="BJ24" s="25">
        <v>15</v>
      </c>
      <c r="BK24" s="30"/>
      <c r="BL24" s="30"/>
      <c r="BM24" s="25">
        <v>13</v>
      </c>
      <c r="BN24" s="30"/>
      <c r="BO24" s="30"/>
      <c r="BP24" s="25">
        <v>18</v>
      </c>
      <c r="BQ24" s="4"/>
      <c r="BR24" s="4" t="s">
        <v>81</v>
      </c>
      <c r="BS24" s="30"/>
      <c r="BT24" s="5">
        <f>16*0.8</f>
        <v>12.8</v>
      </c>
      <c r="BU24" s="30"/>
    </row>
    <row r="25" spans="1:73" ht="16.05" customHeight="1" x14ac:dyDescent="0.35">
      <c r="E25" s="42">
        <f>(B23-$B$4)/2</f>
        <v>5.2857142857142865</v>
      </c>
      <c r="F25" s="42">
        <f>(B23-$B$4)*0.6/2</f>
        <v>3.1714285714285717</v>
      </c>
      <c r="H25" s="25">
        <v>17</v>
      </c>
      <c r="I25" s="30"/>
      <c r="J25" s="30"/>
      <c r="K25" s="25">
        <v>13</v>
      </c>
      <c r="L25" s="30"/>
      <c r="M25" s="30"/>
      <c r="N25" s="25">
        <v>8</v>
      </c>
      <c r="O25" s="30"/>
      <c r="P25" s="30"/>
      <c r="Q25" s="25">
        <v>15</v>
      </c>
      <c r="R25" s="30"/>
      <c r="S25" s="30"/>
      <c r="T25" s="25">
        <v>12</v>
      </c>
      <c r="U25" s="30"/>
      <c r="V25" s="30"/>
      <c r="W25" s="25">
        <v>18</v>
      </c>
      <c r="X25" s="25"/>
      <c r="Y25" s="25"/>
      <c r="Z25" s="5">
        <f>14*18/16</f>
        <v>15.75</v>
      </c>
      <c r="AA25" s="30"/>
      <c r="AB25" s="30"/>
      <c r="AC25" s="25">
        <v>15</v>
      </c>
      <c r="AD25" s="30"/>
      <c r="AE25" s="30"/>
      <c r="AF25" s="25">
        <v>12</v>
      </c>
      <c r="AG25" s="30"/>
      <c r="AH25" s="30"/>
      <c r="AI25" s="25">
        <v>13</v>
      </c>
      <c r="AJ25" s="30"/>
      <c r="AK25" s="30"/>
      <c r="AL25" s="25">
        <v>14</v>
      </c>
      <c r="AM25" s="30"/>
      <c r="AN25" s="30"/>
      <c r="AO25" s="25">
        <v>21</v>
      </c>
      <c r="AP25" s="30"/>
      <c r="AQ25" s="30"/>
      <c r="AR25" s="25">
        <v>6</v>
      </c>
      <c r="AS25" s="30"/>
      <c r="AT25" s="30"/>
      <c r="AU25" s="25">
        <v>8</v>
      </c>
      <c r="AV25" s="30"/>
      <c r="AW25" s="30"/>
      <c r="AX25" s="25">
        <v>21</v>
      </c>
      <c r="AY25" s="30"/>
      <c r="AZ25" s="30"/>
      <c r="BA25" s="25">
        <v>-3</v>
      </c>
      <c r="BB25" s="30"/>
      <c r="BC25" s="30"/>
      <c r="BD25" s="25">
        <v>15</v>
      </c>
      <c r="BE25" s="30"/>
      <c r="BF25" s="30"/>
      <c r="BG25" s="25">
        <v>14</v>
      </c>
      <c r="BH25" s="30"/>
      <c r="BI25" s="30"/>
      <c r="BJ25" s="5">
        <f>15*18/14</f>
        <v>19.285714285714285</v>
      </c>
      <c r="BK25" s="30"/>
      <c r="BL25" s="30"/>
      <c r="BM25" s="5">
        <f>12*18/14</f>
        <v>15.428571428571429</v>
      </c>
      <c r="BN25" s="30"/>
      <c r="BO25" s="30"/>
      <c r="BP25" s="25">
        <v>19</v>
      </c>
      <c r="BQ25" s="4"/>
      <c r="BR25" s="4"/>
      <c r="BS25" s="30"/>
      <c r="BT25" s="25">
        <v>15</v>
      </c>
      <c r="BU25" s="30"/>
    </row>
    <row r="26" spans="1:73" ht="16.05" customHeight="1" x14ac:dyDescent="0.35">
      <c r="E26" s="24"/>
      <c r="F26" s="24"/>
      <c r="H26" s="25">
        <v>17</v>
      </c>
      <c r="I26" s="30"/>
      <c r="J26" s="30"/>
      <c r="K26" s="25">
        <v>12</v>
      </c>
      <c r="L26" s="30"/>
      <c r="M26" s="30"/>
      <c r="N26" s="25">
        <v>12</v>
      </c>
      <c r="O26" s="30"/>
      <c r="P26" s="30"/>
      <c r="Q26" s="25">
        <v>14</v>
      </c>
      <c r="R26" s="30"/>
      <c r="S26" s="30"/>
      <c r="T26" s="25">
        <v>15</v>
      </c>
      <c r="U26" s="30"/>
      <c r="V26" s="30"/>
      <c r="W26" s="25">
        <v>22</v>
      </c>
      <c r="X26" s="25"/>
      <c r="Y26" s="25"/>
      <c r="Z26" s="25">
        <v>14</v>
      </c>
      <c r="AA26" s="30"/>
      <c r="AB26" s="30"/>
      <c r="AC26" s="25">
        <v>15</v>
      </c>
      <c r="AD26" s="30"/>
      <c r="AE26" s="30"/>
      <c r="AF26" s="25">
        <v>12</v>
      </c>
      <c r="AG26" s="30"/>
      <c r="AH26" s="30"/>
      <c r="AI26" s="25">
        <v>10</v>
      </c>
      <c r="AJ26" s="30"/>
      <c r="AK26" s="30"/>
      <c r="AL26" s="25">
        <v>12</v>
      </c>
      <c r="AM26" s="30"/>
      <c r="AN26" s="30"/>
      <c r="AO26" s="25">
        <v>10</v>
      </c>
      <c r="AP26" s="30"/>
      <c r="AQ26" s="30"/>
      <c r="AR26" s="25">
        <v>11</v>
      </c>
      <c r="AS26" s="30"/>
      <c r="AT26" s="30"/>
      <c r="AU26" s="25">
        <v>7</v>
      </c>
      <c r="AV26" s="30"/>
      <c r="AW26" s="30"/>
      <c r="AX26" s="25">
        <v>20</v>
      </c>
      <c r="AY26" s="30"/>
      <c r="AZ26" s="30"/>
      <c r="BA26" s="25">
        <v>8</v>
      </c>
      <c r="BB26" s="30"/>
      <c r="BC26" s="30"/>
      <c r="BD26" s="25">
        <v>8</v>
      </c>
      <c r="BE26" s="30"/>
      <c r="BF26" s="30"/>
      <c r="BG26" s="25">
        <v>11</v>
      </c>
      <c r="BH26" s="30"/>
      <c r="BI26" s="30"/>
      <c r="BJ26" s="25">
        <v>15</v>
      </c>
      <c r="BK26" s="30"/>
      <c r="BL26" s="30"/>
      <c r="BM26" s="25">
        <v>16</v>
      </c>
      <c r="BN26" s="30"/>
      <c r="BO26" s="30"/>
      <c r="BP26" s="25">
        <v>12</v>
      </c>
      <c r="BQ26" s="4"/>
      <c r="BR26" s="4"/>
      <c r="BS26" s="30"/>
      <c r="BT26" s="25">
        <v>12</v>
      </c>
      <c r="BU26" s="30"/>
    </row>
    <row r="27" spans="1:73" ht="16.05" customHeight="1" x14ac:dyDescent="0.35">
      <c r="E27" s="24"/>
      <c r="F27" s="24"/>
      <c r="H27" s="25">
        <v>24</v>
      </c>
      <c r="I27" s="30"/>
      <c r="J27" s="30"/>
      <c r="K27" s="25">
        <v>19</v>
      </c>
      <c r="L27" s="30"/>
      <c r="M27" s="30"/>
      <c r="N27" s="25">
        <v>15</v>
      </c>
      <c r="O27" s="30"/>
      <c r="P27" s="30"/>
      <c r="Q27" s="25">
        <v>10</v>
      </c>
      <c r="R27" s="30"/>
      <c r="S27" s="30"/>
      <c r="T27" s="25">
        <v>15</v>
      </c>
      <c r="U27" s="30"/>
      <c r="V27" s="30"/>
      <c r="W27" s="25">
        <v>14</v>
      </c>
      <c r="X27" s="25"/>
      <c r="Y27" s="25"/>
      <c r="Z27" s="25">
        <v>11</v>
      </c>
      <c r="AA27" s="30"/>
      <c r="AB27" s="30"/>
      <c r="AC27" s="25">
        <v>9</v>
      </c>
      <c r="AD27" s="30"/>
      <c r="AE27" s="30"/>
      <c r="AF27" s="5">
        <f>13*18/16</f>
        <v>14.625</v>
      </c>
      <c r="AG27" s="30"/>
      <c r="AH27" s="30"/>
      <c r="AI27" s="25">
        <v>10</v>
      </c>
      <c r="AJ27" s="30"/>
      <c r="AK27" s="30"/>
      <c r="AL27" s="25">
        <v>10</v>
      </c>
      <c r="AM27" s="30"/>
      <c r="AN27" s="30"/>
      <c r="AO27" s="25">
        <v>12</v>
      </c>
      <c r="AP27" s="30"/>
      <c r="AQ27" s="30"/>
      <c r="AR27" s="25">
        <v>9</v>
      </c>
      <c r="AS27" s="30"/>
      <c r="AT27" s="30"/>
      <c r="AU27" s="25">
        <v>6</v>
      </c>
      <c r="AV27" s="30"/>
      <c r="AW27" s="30"/>
      <c r="AX27" s="25">
        <v>19</v>
      </c>
      <c r="AY27" s="30"/>
      <c r="AZ27" s="30"/>
      <c r="BA27" s="25">
        <v>9</v>
      </c>
      <c r="BB27" s="30"/>
      <c r="BC27" s="30"/>
      <c r="BD27" s="25">
        <v>12</v>
      </c>
      <c r="BE27" s="30"/>
      <c r="BF27" s="30"/>
      <c r="BG27" s="25">
        <v>16</v>
      </c>
      <c r="BH27" s="30"/>
      <c r="BI27" s="30"/>
      <c r="BJ27" s="25">
        <v>14</v>
      </c>
      <c r="BK27" s="30"/>
      <c r="BL27" s="30"/>
      <c r="BM27" s="25">
        <v>18</v>
      </c>
      <c r="BN27" s="30"/>
      <c r="BO27" s="30"/>
      <c r="BP27" s="25">
        <v>19</v>
      </c>
      <c r="BQ27" s="30"/>
      <c r="BR27" s="30"/>
      <c r="BS27" s="30"/>
      <c r="BT27" s="25">
        <v>13</v>
      </c>
      <c r="BU27" s="30"/>
    </row>
    <row r="28" spans="1:73" ht="16.05" customHeight="1" x14ac:dyDescent="0.35">
      <c r="H28" s="25">
        <v>18</v>
      </c>
      <c r="I28" s="30"/>
      <c r="J28" s="30"/>
      <c r="K28" s="25">
        <v>16</v>
      </c>
      <c r="L28" s="30"/>
      <c r="M28" s="30"/>
      <c r="N28" s="25">
        <v>9</v>
      </c>
      <c r="O28" s="30"/>
      <c r="P28" s="30"/>
      <c r="Q28" s="25">
        <v>15</v>
      </c>
      <c r="R28" s="30"/>
      <c r="S28" s="30"/>
      <c r="T28" s="25">
        <v>11</v>
      </c>
      <c r="U28" s="30"/>
      <c r="V28" s="30"/>
      <c r="W28" s="25">
        <v>16</v>
      </c>
      <c r="X28" s="25"/>
      <c r="Y28" s="25"/>
      <c r="Z28" s="25">
        <v>18</v>
      </c>
      <c r="AA28" s="30"/>
      <c r="AB28" s="30"/>
      <c r="AC28" s="25">
        <f>7*18/14</f>
        <v>9</v>
      </c>
      <c r="AD28" s="30"/>
      <c r="AE28" s="30"/>
      <c r="AF28" s="5">
        <f>12*1.2</f>
        <v>14.399999999999999</v>
      </c>
      <c r="AG28" s="30"/>
      <c r="AH28" s="30"/>
      <c r="AI28" s="25">
        <v>10</v>
      </c>
      <c r="AJ28" s="30"/>
      <c r="AK28" s="30"/>
      <c r="AL28" s="25">
        <v>13</v>
      </c>
      <c r="AM28" s="30"/>
      <c r="AN28" s="30"/>
      <c r="AO28" s="25">
        <v>13</v>
      </c>
      <c r="AP28" s="30"/>
      <c r="AQ28" s="30"/>
      <c r="AR28" s="25">
        <v>15</v>
      </c>
      <c r="AS28" s="30"/>
      <c r="AT28" s="30"/>
      <c r="AU28" s="25">
        <v>10</v>
      </c>
      <c r="AV28" s="30"/>
      <c r="AW28" s="30"/>
      <c r="AX28" s="25">
        <v>21</v>
      </c>
      <c r="AY28" s="30"/>
      <c r="AZ28" s="30"/>
      <c r="BA28" s="25">
        <v>6</v>
      </c>
      <c r="BB28" s="30"/>
      <c r="BC28" s="30"/>
      <c r="BD28" s="25">
        <v>15</v>
      </c>
      <c r="BE28" s="30"/>
      <c r="BF28" s="30"/>
      <c r="BG28" s="25">
        <v>17</v>
      </c>
      <c r="BH28" s="30"/>
      <c r="BI28" s="30"/>
      <c r="BJ28" s="25">
        <v>22</v>
      </c>
      <c r="BK28" s="30"/>
      <c r="BL28" s="30"/>
      <c r="BM28" s="25">
        <v>16</v>
      </c>
      <c r="BN28" s="30"/>
      <c r="BO28" s="30"/>
      <c r="BP28" s="25">
        <v>14</v>
      </c>
      <c r="BQ28" s="30"/>
      <c r="BR28" s="30"/>
      <c r="BS28" s="30"/>
      <c r="BT28" s="25">
        <v>14</v>
      </c>
      <c r="BU28" s="30"/>
    </row>
    <row r="29" spans="1:73" ht="16.05" customHeight="1" x14ac:dyDescent="0.35">
      <c r="A29" t="s">
        <v>21</v>
      </c>
      <c r="B29" s="32"/>
      <c r="C29" s="36"/>
      <c r="D29" s="36"/>
      <c r="E29" s="32"/>
      <c r="F29" s="32"/>
      <c r="G29" s="33"/>
      <c r="H29" s="25">
        <v>17</v>
      </c>
      <c r="I29" s="30"/>
      <c r="J29" s="30" t="s">
        <v>14</v>
      </c>
      <c r="K29" s="5">
        <f>17*1.2</f>
        <v>20.399999999999999</v>
      </c>
      <c r="L29" s="30"/>
      <c r="M29" s="30"/>
      <c r="N29" s="25">
        <v>11</v>
      </c>
      <c r="O29" s="30"/>
      <c r="P29" s="30"/>
      <c r="Q29" s="25">
        <v>12</v>
      </c>
      <c r="R29" s="30"/>
      <c r="S29" s="30"/>
      <c r="T29" s="25">
        <v>14</v>
      </c>
      <c r="U29" s="30"/>
      <c r="V29" s="30"/>
      <c r="W29" s="25">
        <v>22</v>
      </c>
      <c r="X29" s="25"/>
      <c r="Y29" s="25"/>
      <c r="Z29" s="25">
        <v>14</v>
      </c>
      <c r="AA29" s="30"/>
      <c r="AB29" s="30"/>
      <c r="AC29" s="25">
        <v>12</v>
      </c>
      <c r="AD29" s="30"/>
      <c r="AE29" s="30"/>
      <c r="AF29" s="5">
        <v>15</v>
      </c>
      <c r="AG29" s="30"/>
      <c r="AH29" s="30"/>
      <c r="AI29" s="25">
        <v>12</v>
      </c>
      <c r="AJ29" s="30"/>
      <c r="AK29" s="30"/>
      <c r="AL29" s="25">
        <v>15</v>
      </c>
      <c r="AM29" s="30"/>
      <c r="AN29" s="30"/>
      <c r="AO29" s="25">
        <v>16</v>
      </c>
      <c r="AP29" s="30"/>
      <c r="AQ29" s="30"/>
      <c r="AR29" s="25">
        <v>5</v>
      </c>
      <c r="AS29" s="30"/>
      <c r="AT29" s="30"/>
      <c r="AU29" s="25">
        <v>13</v>
      </c>
      <c r="AV29" s="30"/>
      <c r="AW29" s="30"/>
      <c r="AX29" s="25">
        <v>18</v>
      </c>
      <c r="AY29" s="30"/>
      <c r="AZ29" s="30"/>
      <c r="BA29" s="25">
        <v>14</v>
      </c>
      <c r="BB29" s="30"/>
      <c r="BC29" s="30"/>
      <c r="BD29" s="25">
        <v>11</v>
      </c>
      <c r="BE29" s="30"/>
      <c r="BF29" s="30"/>
      <c r="BG29" s="25">
        <v>15</v>
      </c>
      <c r="BH29" s="30"/>
      <c r="BI29" s="30"/>
      <c r="BJ29" s="25">
        <v>18</v>
      </c>
      <c r="BK29" s="30"/>
      <c r="BL29" s="30"/>
      <c r="BM29" s="25">
        <v>13</v>
      </c>
      <c r="BN29" s="30"/>
      <c r="BO29" s="30"/>
      <c r="BP29" s="25">
        <v>22</v>
      </c>
      <c r="BQ29" s="30"/>
      <c r="BR29" s="30"/>
      <c r="BS29" s="30"/>
      <c r="BT29" s="25">
        <v>7</v>
      </c>
      <c r="BU29" s="30"/>
    </row>
    <row r="30" spans="1:73" ht="16.05" customHeight="1" x14ac:dyDescent="0.4">
      <c r="A30" t="s">
        <v>22</v>
      </c>
      <c r="B30"/>
      <c r="C30" s="50">
        <v>80</v>
      </c>
      <c r="D30" s="49" t="s">
        <v>14</v>
      </c>
      <c r="E30" s="34"/>
      <c r="F30" s="34"/>
      <c r="H30" s="25">
        <v>18</v>
      </c>
      <c r="I30" s="30"/>
      <c r="J30" s="30"/>
      <c r="K30" s="5">
        <f>13*1.1</f>
        <v>14.3</v>
      </c>
      <c r="L30" s="30"/>
      <c r="M30" s="30"/>
      <c r="N30" s="25">
        <v>16</v>
      </c>
      <c r="O30" s="30"/>
      <c r="P30" s="30"/>
      <c r="Q30" s="25">
        <v>21</v>
      </c>
      <c r="R30" s="30"/>
      <c r="S30" s="30"/>
      <c r="T30" s="25">
        <v>15</v>
      </c>
      <c r="U30" s="30"/>
      <c r="V30" s="30"/>
      <c r="W30" s="25">
        <v>20</v>
      </c>
      <c r="X30" s="25"/>
      <c r="Y30" s="25"/>
      <c r="Z30" s="25">
        <v>17</v>
      </c>
      <c r="AA30" s="30"/>
      <c r="AB30" s="30"/>
      <c r="AC30" s="47">
        <v>15</v>
      </c>
      <c r="AD30" s="30"/>
      <c r="AE30" s="30"/>
      <c r="AF30" s="25">
        <v>14</v>
      </c>
      <c r="AG30" s="30"/>
      <c r="AH30" s="30"/>
      <c r="AI30" s="25">
        <v>4</v>
      </c>
      <c r="AJ30" s="30"/>
      <c r="AK30" s="30"/>
      <c r="AL30" s="25">
        <v>20</v>
      </c>
      <c r="AM30" s="30"/>
      <c r="AN30" s="30"/>
      <c r="AO30" s="25">
        <v>19</v>
      </c>
      <c r="AP30" s="30"/>
      <c r="AQ30" s="30"/>
      <c r="AR30" s="25">
        <v>11</v>
      </c>
      <c r="AS30" s="30"/>
      <c r="AT30" s="30"/>
      <c r="AU30" s="25">
        <v>6</v>
      </c>
      <c r="AV30" s="30"/>
      <c r="AW30" s="30"/>
      <c r="AX30" s="25">
        <v>21</v>
      </c>
      <c r="AY30" s="30"/>
      <c r="AZ30" s="30"/>
      <c r="BA30" s="25">
        <v>9</v>
      </c>
      <c r="BB30" s="30"/>
      <c r="BC30" s="30"/>
      <c r="BD30" s="25">
        <v>14</v>
      </c>
      <c r="BE30" s="30"/>
      <c r="BF30" s="30"/>
      <c r="BG30" s="25">
        <v>15</v>
      </c>
      <c r="BH30" s="30"/>
      <c r="BI30" s="30"/>
      <c r="BJ30" s="25">
        <v>21</v>
      </c>
      <c r="BK30" s="30"/>
      <c r="BL30" s="30"/>
      <c r="BM30" s="25">
        <v>16</v>
      </c>
      <c r="BN30" s="30"/>
      <c r="BO30" s="30"/>
      <c r="BP30" s="25">
        <v>12</v>
      </c>
      <c r="BQ30" s="30"/>
      <c r="BR30" s="30"/>
      <c r="BS30" s="30"/>
      <c r="BT30" s="25">
        <v>13</v>
      </c>
      <c r="BU30" s="30"/>
    </row>
    <row r="31" spans="1:73" ht="16.05" customHeight="1" x14ac:dyDescent="0.4">
      <c r="A31" t="s">
        <v>23</v>
      </c>
      <c r="B31"/>
      <c r="C31" s="50">
        <v>70.5</v>
      </c>
      <c r="D31" s="49"/>
      <c r="E31" s="35"/>
      <c r="F31" s="35"/>
      <c r="H31" s="25">
        <v>20</v>
      </c>
      <c r="I31" s="30"/>
      <c r="J31" s="30"/>
      <c r="K31" s="25">
        <v>16</v>
      </c>
      <c r="L31" s="30"/>
      <c r="M31" s="30"/>
      <c r="N31" s="25">
        <v>13</v>
      </c>
      <c r="O31" s="30"/>
      <c r="P31" s="30"/>
      <c r="Q31" s="25">
        <v>12</v>
      </c>
      <c r="R31" s="30"/>
      <c r="S31" s="30"/>
      <c r="T31" s="25">
        <v>9</v>
      </c>
      <c r="U31" s="30"/>
      <c r="V31" s="30"/>
      <c r="W31" s="25">
        <v>22</v>
      </c>
      <c r="X31" s="25"/>
      <c r="Y31" s="25"/>
      <c r="Z31" s="25">
        <v>10</v>
      </c>
      <c r="AA31" s="30"/>
      <c r="AB31" s="30"/>
      <c r="AC31" s="25">
        <v>19</v>
      </c>
      <c r="AD31" s="30"/>
      <c r="AE31" s="30"/>
      <c r="AF31" s="25">
        <v>15</v>
      </c>
      <c r="AG31" s="30"/>
      <c r="AH31" s="30"/>
      <c r="AI31" s="25">
        <v>17</v>
      </c>
      <c r="AJ31" s="30"/>
      <c r="AK31" s="30"/>
      <c r="AL31" s="25">
        <v>13</v>
      </c>
      <c r="AM31" s="30"/>
      <c r="AN31" s="30"/>
      <c r="AO31" s="25">
        <v>24</v>
      </c>
      <c r="AP31" s="30"/>
      <c r="AQ31" s="30"/>
      <c r="AR31" s="25">
        <v>7</v>
      </c>
      <c r="AS31" s="30"/>
      <c r="AT31" s="30"/>
      <c r="AU31" s="25">
        <v>4</v>
      </c>
      <c r="AV31" s="30"/>
      <c r="AW31" s="30"/>
      <c r="AX31" s="25">
        <v>21</v>
      </c>
      <c r="AY31" s="30"/>
      <c r="AZ31" s="30"/>
      <c r="BA31" s="25">
        <v>8</v>
      </c>
      <c r="BB31" s="30"/>
      <c r="BC31" s="30"/>
      <c r="BD31" s="5">
        <f>12*1.1</f>
        <v>13.200000000000001</v>
      </c>
      <c r="BE31" s="30"/>
      <c r="BF31" s="30"/>
      <c r="BG31" s="25">
        <v>17</v>
      </c>
      <c r="BH31" s="30"/>
      <c r="BI31" s="30"/>
      <c r="BJ31" s="25">
        <v>17</v>
      </c>
      <c r="BK31" s="30"/>
      <c r="BL31" s="30"/>
      <c r="BM31" s="25">
        <v>18</v>
      </c>
      <c r="BN31" s="30"/>
      <c r="BO31" s="30"/>
      <c r="BP31" s="25">
        <v>9</v>
      </c>
      <c r="BQ31" s="30"/>
      <c r="BR31" s="30"/>
      <c r="BS31" s="30"/>
      <c r="BT31" s="5">
        <f>15*1.1</f>
        <v>16.5</v>
      </c>
      <c r="BU31" s="30"/>
    </row>
    <row r="32" spans="1:73" ht="16.05" customHeight="1" x14ac:dyDescent="0.4">
      <c r="A32" t="s">
        <v>24</v>
      </c>
      <c r="B32"/>
      <c r="C32" s="50">
        <v>127</v>
      </c>
      <c r="D32" s="49"/>
      <c r="E32" s="35"/>
      <c r="F32" s="35"/>
      <c r="H32" s="25">
        <v>12</v>
      </c>
      <c r="I32" s="30"/>
      <c r="J32" s="30"/>
      <c r="K32" s="5">
        <f>18*0.8</f>
        <v>14.4</v>
      </c>
      <c r="L32" s="30"/>
      <c r="M32" s="30"/>
      <c r="N32" s="25">
        <v>12</v>
      </c>
      <c r="O32" s="30"/>
      <c r="P32" s="30"/>
      <c r="Q32" s="25">
        <v>15</v>
      </c>
      <c r="R32" s="30"/>
      <c r="S32" s="30"/>
      <c r="T32" s="25">
        <v>8</v>
      </c>
      <c r="U32" s="30"/>
      <c r="V32" s="30"/>
      <c r="W32" s="5">
        <f>19*1.1</f>
        <v>20.900000000000002</v>
      </c>
      <c r="X32" s="25"/>
      <c r="Y32" s="25"/>
      <c r="Z32" s="25">
        <v>10</v>
      </c>
      <c r="AA32" s="30"/>
      <c r="AB32" s="30"/>
      <c r="AC32" s="25">
        <v>13</v>
      </c>
      <c r="AD32" s="30"/>
      <c r="AE32" s="30"/>
      <c r="AF32" s="25">
        <v>17</v>
      </c>
      <c r="AG32" s="30"/>
      <c r="AH32" s="30"/>
      <c r="AI32" s="25">
        <v>12</v>
      </c>
      <c r="AJ32" s="30"/>
      <c r="AK32" s="30"/>
      <c r="AL32" s="25">
        <v>13</v>
      </c>
      <c r="AM32" s="30"/>
      <c r="AN32" s="30"/>
      <c r="AO32" s="25">
        <v>22</v>
      </c>
      <c r="AP32" s="30"/>
      <c r="AQ32" s="30"/>
      <c r="AR32" s="25">
        <v>12</v>
      </c>
      <c r="AS32" s="30"/>
      <c r="AT32" s="30"/>
      <c r="AU32" s="25">
        <v>11</v>
      </c>
      <c r="AV32" s="30"/>
      <c r="AW32" s="30"/>
      <c r="AX32" s="25">
        <v>24</v>
      </c>
      <c r="AY32" s="30"/>
      <c r="AZ32" s="30"/>
      <c r="BA32" s="25">
        <v>10</v>
      </c>
      <c r="BB32" s="30"/>
      <c r="BC32" s="30"/>
      <c r="BD32" s="25">
        <v>17</v>
      </c>
      <c r="BE32" s="30"/>
      <c r="BF32" s="30"/>
      <c r="BG32" s="25">
        <v>14</v>
      </c>
      <c r="BH32" s="30"/>
      <c r="BI32" s="30"/>
      <c r="BJ32" s="25">
        <v>11</v>
      </c>
      <c r="BK32" s="30"/>
      <c r="BL32" s="30"/>
      <c r="BM32" s="25">
        <v>13</v>
      </c>
      <c r="BN32" s="30"/>
      <c r="BO32" s="30"/>
      <c r="BP32" s="5">
        <f>14*1.1</f>
        <v>15.400000000000002</v>
      </c>
      <c r="BQ32" s="30"/>
      <c r="BR32" s="30"/>
      <c r="BS32" s="30"/>
      <c r="BT32" s="25">
        <v>10</v>
      </c>
      <c r="BU32" s="30"/>
    </row>
    <row r="33" spans="1:73" ht="16.05" customHeight="1" x14ac:dyDescent="0.35">
      <c r="A33" t="s">
        <v>100</v>
      </c>
      <c r="B33"/>
      <c r="C33" s="51">
        <v>73.099999999999994</v>
      </c>
      <c r="D33" s="36"/>
      <c r="E33" s="32"/>
      <c r="F33" s="32"/>
      <c r="H33" s="5">
        <f>15*1.1</f>
        <v>16.5</v>
      </c>
      <c r="I33" s="30"/>
      <c r="J33" s="30"/>
      <c r="K33" s="25">
        <v>10</v>
      </c>
      <c r="L33" s="30"/>
      <c r="M33" s="30"/>
      <c r="N33" s="25">
        <v>11</v>
      </c>
      <c r="O33" s="30"/>
      <c r="P33" s="30"/>
      <c r="Q33" s="25">
        <v>17</v>
      </c>
      <c r="R33" s="30"/>
      <c r="S33" s="30"/>
      <c r="T33" s="5">
        <f>16*1.2</f>
        <v>19.2</v>
      </c>
      <c r="U33" s="30"/>
      <c r="V33" s="30"/>
      <c r="W33" s="5">
        <f>21*0.8</f>
        <v>16.8</v>
      </c>
      <c r="X33" s="25"/>
      <c r="Y33" s="25"/>
      <c r="Z33" s="25">
        <v>10</v>
      </c>
      <c r="AA33" s="30"/>
      <c r="AB33" s="30"/>
      <c r="AC33" s="25">
        <v>10</v>
      </c>
      <c r="AD33" s="30"/>
      <c r="AE33" s="30"/>
      <c r="AF33" s="25">
        <v>17</v>
      </c>
      <c r="AG33" s="30"/>
      <c r="AH33" s="30"/>
      <c r="AI33" s="25">
        <v>6</v>
      </c>
      <c r="AJ33" s="30"/>
      <c r="AK33" s="30"/>
      <c r="AL33" s="25">
        <v>6</v>
      </c>
      <c r="AM33" s="30"/>
      <c r="AN33" s="30"/>
      <c r="AO33" s="25">
        <v>18</v>
      </c>
      <c r="AP33" s="30"/>
      <c r="AQ33" s="30"/>
      <c r="AR33" s="25">
        <v>11</v>
      </c>
      <c r="AS33" s="30"/>
      <c r="AT33" s="30"/>
      <c r="AU33" s="25">
        <v>8</v>
      </c>
      <c r="AV33" s="30"/>
      <c r="AW33" s="30"/>
      <c r="AX33" s="5">
        <f>16*1.1</f>
        <v>17.600000000000001</v>
      </c>
      <c r="AY33" s="30"/>
      <c r="AZ33" s="30"/>
      <c r="BA33" s="25">
        <v>11</v>
      </c>
      <c r="BB33" s="30"/>
      <c r="BC33" s="30"/>
      <c r="BD33" s="25">
        <v>15</v>
      </c>
      <c r="BE33" s="30"/>
      <c r="BF33" s="30"/>
      <c r="BG33" s="25">
        <v>14</v>
      </c>
      <c r="BH33" s="30"/>
      <c r="BI33" s="30"/>
      <c r="BJ33" s="25">
        <v>18</v>
      </c>
      <c r="BK33" s="30"/>
      <c r="BL33" s="30"/>
      <c r="BM33" s="25">
        <v>15</v>
      </c>
      <c r="BN33" s="30"/>
      <c r="BO33" s="30"/>
      <c r="BP33" s="25">
        <v>11</v>
      </c>
      <c r="BQ33" s="30"/>
      <c r="BR33" s="30"/>
      <c r="BS33" s="30"/>
      <c r="BT33" s="25">
        <v>15</v>
      </c>
      <c r="BU33" s="30"/>
    </row>
    <row r="34" spans="1:73" ht="16.05" customHeight="1" x14ac:dyDescent="0.35">
      <c r="A34" t="s">
        <v>25</v>
      </c>
      <c r="B34"/>
      <c r="C34" s="51">
        <v>132</v>
      </c>
      <c r="D34" s="36"/>
      <c r="E34" s="32"/>
      <c r="F34" s="32"/>
      <c r="H34" s="25">
        <v>13</v>
      </c>
      <c r="I34" s="30"/>
      <c r="J34" s="30"/>
      <c r="K34" s="5">
        <f>9*18/14</f>
        <v>11.571428571428571</v>
      </c>
      <c r="L34" s="30"/>
      <c r="M34" s="30"/>
      <c r="N34" s="25">
        <v>12</v>
      </c>
      <c r="O34" s="30"/>
      <c r="P34" s="30"/>
      <c r="Q34" s="25">
        <v>13</v>
      </c>
      <c r="R34" s="30"/>
      <c r="S34" s="30"/>
      <c r="T34" s="25">
        <v>11</v>
      </c>
      <c r="U34" s="30"/>
      <c r="V34" s="30"/>
      <c r="W34" s="25">
        <v>19</v>
      </c>
      <c r="X34" s="25"/>
      <c r="Y34" s="25"/>
      <c r="Z34" s="25">
        <v>15</v>
      </c>
      <c r="AA34" s="30"/>
      <c r="AB34" s="30"/>
      <c r="AC34" s="25">
        <v>10</v>
      </c>
      <c r="AD34" s="30"/>
      <c r="AE34" s="30"/>
      <c r="AF34" s="5">
        <f>13*1.1</f>
        <v>14.3</v>
      </c>
      <c r="AG34" s="30"/>
      <c r="AH34" s="30"/>
      <c r="AI34" s="25">
        <v>15</v>
      </c>
      <c r="AJ34" s="30"/>
      <c r="AK34" s="30"/>
      <c r="AL34" s="25">
        <v>10</v>
      </c>
      <c r="AM34" s="30"/>
      <c r="AN34" s="30"/>
      <c r="AO34" s="25">
        <v>22</v>
      </c>
      <c r="AP34" s="30"/>
      <c r="AQ34" s="30"/>
      <c r="AR34" s="25">
        <v>18</v>
      </c>
      <c r="AS34" s="30"/>
      <c r="AT34" s="30"/>
      <c r="AU34" s="25">
        <v>3</v>
      </c>
      <c r="AV34" s="30"/>
      <c r="AW34" s="30"/>
      <c r="AX34" s="25">
        <v>22</v>
      </c>
      <c r="AY34" s="30"/>
      <c r="AZ34" s="30"/>
      <c r="BA34" s="25">
        <v>6</v>
      </c>
      <c r="BB34" s="30"/>
      <c r="BC34" s="30"/>
      <c r="BD34" s="25">
        <v>15</v>
      </c>
      <c r="BE34" s="30"/>
      <c r="BF34" s="30"/>
      <c r="BG34" s="25">
        <v>17</v>
      </c>
      <c r="BH34" s="30"/>
      <c r="BI34" s="30"/>
      <c r="BJ34" s="5">
        <f>(7*18/16)*1.1</f>
        <v>8.6625000000000014</v>
      </c>
      <c r="BK34" s="30"/>
      <c r="BL34" s="30"/>
      <c r="BM34" s="25">
        <v>16</v>
      </c>
      <c r="BN34" s="30"/>
      <c r="BO34" s="30"/>
      <c r="BP34" s="25">
        <v>15</v>
      </c>
      <c r="BQ34" s="30"/>
      <c r="BR34" s="30"/>
      <c r="BS34" s="30"/>
      <c r="BT34" s="25">
        <v>13</v>
      </c>
      <c r="BU34" s="30"/>
    </row>
    <row r="35" spans="1:73" ht="16.05" customHeight="1" x14ac:dyDescent="0.35">
      <c r="A35" t="s">
        <v>26</v>
      </c>
      <c r="B35"/>
      <c r="C35" s="52">
        <f>((C30-C31)*113/C32+1.1)*C34/113</f>
        <v>11.158971500243885</v>
      </c>
      <c r="D35" s="36"/>
      <c r="E35" s="36"/>
      <c r="F35" s="36"/>
      <c r="H35" s="25">
        <v>15</v>
      </c>
      <c r="I35" s="30"/>
      <c r="J35" s="30"/>
      <c r="K35" s="25">
        <v>10</v>
      </c>
      <c r="L35" s="30"/>
      <c r="M35" s="30"/>
      <c r="N35" s="25">
        <v>10</v>
      </c>
      <c r="O35" s="30"/>
      <c r="P35" s="30"/>
      <c r="Q35" s="25">
        <v>17</v>
      </c>
      <c r="R35" s="30"/>
      <c r="S35" s="30"/>
      <c r="T35" s="25">
        <v>13</v>
      </c>
      <c r="U35" s="30"/>
      <c r="V35" s="30"/>
      <c r="W35" s="25">
        <v>13</v>
      </c>
      <c r="X35" s="25"/>
      <c r="Y35" s="25"/>
      <c r="Z35" s="25">
        <v>14</v>
      </c>
      <c r="AA35" s="30"/>
      <c r="AB35" s="30"/>
      <c r="AC35" s="25">
        <v>11</v>
      </c>
      <c r="AD35" s="30"/>
      <c r="AE35" s="30"/>
      <c r="AF35" s="25">
        <v>18</v>
      </c>
      <c r="AG35" s="30"/>
      <c r="AH35" s="30"/>
      <c r="AI35" s="25">
        <v>13</v>
      </c>
      <c r="AJ35" s="30"/>
      <c r="AK35" s="30"/>
      <c r="AL35" s="25">
        <v>7</v>
      </c>
      <c r="AM35" s="30"/>
      <c r="AN35" s="30"/>
      <c r="AO35" s="25">
        <v>15</v>
      </c>
      <c r="AP35" s="30"/>
      <c r="AQ35" s="30"/>
      <c r="AR35" s="25">
        <v>17</v>
      </c>
      <c r="AS35" s="30"/>
      <c r="AT35" s="30"/>
      <c r="AU35" s="25">
        <v>14</v>
      </c>
      <c r="AV35" s="30"/>
      <c r="AW35" s="30"/>
      <c r="AX35" s="25">
        <v>20</v>
      </c>
      <c r="AY35" s="30"/>
      <c r="AZ35" s="30"/>
      <c r="BA35" s="25">
        <v>11</v>
      </c>
      <c r="BB35" s="30"/>
      <c r="BC35" s="30"/>
      <c r="BD35" s="25">
        <v>14</v>
      </c>
      <c r="BE35" s="30"/>
      <c r="BF35" s="30"/>
      <c r="BG35" s="25">
        <v>17</v>
      </c>
      <c r="BH35" s="30"/>
      <c r="BI35" s="30"/>
      <c r="BJ35" s="25">
        <v>16</v>
      </c>
      <c r="BK35" s="30"/>
      <c r="BL35" s="30"/>
      <c r="BM35" s="25">
        <v>15</v>
      </c>
      <c r="BN35" s="30"/>
      <c r="BO35" s="30"/>
      <c r="BP35" s="25">
        <v>16</v>
      </c>
      <c r="BQ35" s="30"/>
      <c r="BR35" s="30"/>
      <c r="BS35" s="30"/>
      <c r="BT35" s="5">
        <f>13*1.1</f>
        <v>14.3</v>
      </c>
      <c r="BU35" s="30"/>
    </row>
    <row r="36" spans="1:73" ht="16.05" customHeight="1" x14ac:dyDescent="0.35">
      <c r="A36" t="s">
        <v>27</v>
      </c>
      <c r="B36"/>
      <c r="C36" s="51">
        <f>ROUND(C35,0)</f>
        <v>11</v>
      </c>
      <c r="D36" s="36"/>
      <c r="E36" s="32"/>
      <c r="F36" s="32"/>
      <c r="H36" s="25">
        <v>19</v>
      </c>
      <c r="I36" s="30"/>
      <c r="J36" s="30"/>
      <c r="K36" s="25">
        <v>15</v>
      </c>
      <c r="L36" s="30"/>
      <c r="M36" s="30"/>
      <c r="N36" s="25">
        <v>12</v>
      </c>
      <c r="O36" s="30"/>
      <c r="P36" s="30"/>
      <c r="Q36" s="25">
        <v>15</v>
      </c>
      <c r="R36" s="30"/>
      <c r="S36" s="30"/>
      <c r="T36" s="25">
        <v>8</v>
      </c>
      <c r="U36" s="30"/>
      <c r="V36" s="30"/>
      <c r="W36" s="25">
        <v>20</v>
      </c>
      <c r="X36" s="25"/>
      <c r="Y36" s="25"/>
      <c r="Z36" s="25">
        <v>12</v>
      </c>
      <c r="AA36" s="30"/>
      <c r="AB36" s="30"/>
      <c r="AC36" s="25">
        <v>16</v>
      </c>
      <c r="AD36" s="30"/>
      <c r="AE36" s="30"/>
      <c r="AF36" s="25">
        <f>10*1.1</f>
        <v>11</v>
      </c>
      <c r="AG36" s="30"/>
      <c r="AH36" s="30"/>
      <c r="AI36" s="25">
        <v>16</v>
      </c>
      <c r="AJ36" s="30"/>
      <c r="AK36" s="30"/>
      <c r="AL36" s="25">
        <v>9</v>
      </c>
      <c r="AM36" s="30"/>
      <c r="AN36" s="30"/>
      <c r="AO36" s="25">
        <v>13</v>
      </c>
      <c r="AP36" s="30"/>
      <c r="AQ36" s="30"/>
      <c r="AR36" s="25">
        <v>13</v>
      </c>
      <c r="AS36" s="30"/>
      <c r="AT36" s="30"/>
      <c r="AU36" s="25">
        <v>7</v>
      </c>
      <c r="AV36" s="30"/>
      <c r="AW36" s="30"/>
      <c r="AX36" s="25">
        <v>21</v>
      </c>
      <c r="AY36" s="30"/>
      <c r="AZ36" s="30"/>
      <c r="BA36" s="25">
        <v>6</v>
      </c>
      <c r="BB36" s="30"/>
      <c r="BC36" s="30"/>
      <c r="BD36" s="25">
        <v>19</v>
      </c>
      <c r="BE36" s="30"/>
      <c r="BF36" s="30"/>
      <c r="BG36" s="25">
        <v>22</v>
      </c>
      <c r="BH36" s="30"/>
      <c r="BI36" s="30"/>
      <c r="BJ36" s="25">
        <v>19</v>
      </c>
      <c r="BK36" s="30"/>
      <c r="BL36" s="30"/>
      <c r="BM36" s="25">
        <v>18</v>
      </c>
      <c r="BN36" s="30"/>
      <c r="BO36" s="30"/>
      <c r="BP36" s="25">
        <v>15</v>
      </c>
      <c r="BQ36" s="30"/>
      <c r="BR36" s="30"/>
      <c r="BS36" s="30"/>
      <c r="BT36" s="25">
        <v>14</v>
      </c>
      <c r="BU36" s="30"/>
    </row>
    <row r="37" spans="1:73" ht="16.05" customHeight="1" x14ac:dyDescent="0.35">
      <c r="H37" s="25">
        <f>15*1.2</f>
        <v>18</v>
      </c>
      <c r="I37" s="30"/>
      <c r="J37" s="30"/>
      <c r="K37" s="25">
        <v>17</v>
      </c>
      <c r="L37" s="30"/>
      <c r="M37" s="30"/>
      <c r="N37" s="25">
        <v>17</v>
      </c>
      <c r="O37" s="30"/>
      <c r="P37" s="30"/>
      <c r="Q37" s="25">
        <v>12</v>
      </c>
      <c r="R37" s="30"/>
      <c r="S37" s="30"/>
      <c r="T37" s="5">
        <f>14*0.8</f>
        <v>11.200000000000001</v>
      </c>
      <c r="U37" s="30"/>
      <c r="V37" s="30"/>
      <c r="W37" s="25">
        <v>14</v>
      </c>
      <c r="X37" s="25"/>
      <c r="Y37" s="25"/>
      <c r="Z37" s="25">
        <v>15</v>
      </c>
      <c r="AA37" s="30"/>
      <c r="AB37" s="30"/>
      <c r="AC37" s="25">
        <v>7</v>
      </c>
      <c r="AD37" s="30"/>
      <c r="AE37" s="30"/>
      <c r="AF37" s="25">
        <v>18</v>
      </c>
      <c r="AG37" s="30"/>
      <c r="AH37" s="30"/>
      <c r="AI37" s="25">
        <v>10</v>
      </c>
      <c r="AJ37" s="30"/>
      <c r="AK37" s="30"/>
      <c r="AL37" s="25">
        <v>9</v>
      </c>
      <c r="AM37" s="30"/>
      <c r="AN37" s="30"/>
      <c r="AO37" s="25">
        <v>19</v>
      </c>
      <c r="AP37" s="30"/>
      <c r="AQ37" s="30"/>
      <c r="AR37" s="25">
        <v>8</v>
      </c>
      <c r="AS37" s="30"/>
      <c r="AT37" s="30"/>
      <c r="AU37" s="25">
        <v>9</v>
      </c>
      <c r="AV37" s="30"/>
      <c r="AW37" s="30"/>
      <c r="AX37" s="25">
        <v>18</v>
      </c>
      <c r="AY37" s="30"/>
      <c r="AZ37" s="30"/>
      <c r="BA37" s="25">
        <v>5</v>
      </c>
      <c r="BB37" s="30"/>
      <c r="BC37" s="30"/>
      <c r="BD37" s="25">
        <v>11</v>
      </c>
      <c r="BE37" s="30"/>
      <c r="BF37" s="30"/>
      <c r="BG37" s="5">
        <f>13*1.1</f>
        <v>14.3</v>
      </c>
      <c r="BH37" s="30"/>
      <c r="BI37" s="30"/>
      <c r="BJ37" s="25">
        <v>12</v>
      </c>
      <c r="BK37" s="30"/>
      <c r="BL37" s="30"/>
      <c r="BM37" s="25">
        <v>17</v>
      </c>
      <c r="BN37" s="30"/>
      <c r="BO37" s="30"/>
      <c r="BP37" s="25">
        <v>15</v>
      </c>
      <c r="BQ37" s="30"/>
      <c r="BR37" s="30"/>
      <c r="BS37" s="30"/>
      <c r="BT37" s="5">
        <f>12*1.1</f>
        <v>13.200000000000001</v>
      </c>
      <c r="BU37" s="30"/>
    </row>
    <row r="38" spans="1:73" ht="16.05" customHeight="1" x14ac:dyDescent="0.35">
      <c r="A38" s="37" t="s">
        <v>38</v>
      </c>
      <c r="B38" s="38"/>
      <c r="E38" s="38"/>
      <c r="F38" s="38"/>
      <c r="H38" s="25">
        <v>17</v>
      </c>
      <c r="I38" s="30"/>
      <c r="J38" s="30"/>
      <c r="K38" s="25">
        <v>8</v>
      </c>
      <c r="L38" s="30"/>
      <c r="M38" s="30"/>
      <c r="N38" s="25">
        <v>19</v>
      </c>
      <c r="O38" s="30"/>
      <c r="P38" s="30"/>
      <c r="Q38" s="25">
        <v>12</v>
      </c>
      <c r="R38" s="30"/>
      <c r="S38" s="30"/>
      <c r="T38" s="25">
        <v>3</v>
      </c>
      <c r="U38" s="30"/>
      <c r="V38" s="30"/>
      <c r="W38" s="25">
        <v>16</v>
      </c>
      <c r="X38" s="25"/>
      <c r="Y38" s="25"/>
      <c r="Z38" s="25">
        <v>22</v>
      </c>
      <c r="AA38" s="30"/>
      <c r="AB38" s="30"/>
      <c r="AC38" s="25">
        <v>11</v>
      </c>
      <c r="AD38" s="30"/>
      <c r="AE38" s="30"/>
      <c r="AF38" s="25">
        <v>17</v>
      </c>
      <c r="AG38" s="30"/>
      <c r="AH38" s="30"/>
      <c r="AI38" s="25">
        <v>11</v>
      </c>
      <c r="AJ38" s="30"/>
      <c r="AK38" s="30"/>
      <c r="AL38" s="25">
        <v>14</v>
      </c>
      <c r="AM38" s="30"/>
      <c r="AN38" s="30"/>
      <c r="AO38" s="25">
        <v>16</v>
      </c>
      <c r="AP38" s="30"/>
      <c r="AQ38" s="30"/>
      <c r="AR38" s="25">
        <v>11</v>
      </c>
      <c r="AS38" s="30"/>
      <c r="AT38" s="30"/>
      <c r="AU38" s="25">
        <v>12</v>
      </c>
      <c r="AV38" s="30"/>
      <c r="AW38" s="30"/>
      <c r="AX38" s="25">
        <v>20</v>
      </c>
      <c r="AY38" s="30"/>
      <c r="AZ38" s="30"/>
      <c r="BA38" s="25">
        <v>10</v>
      </c>
      <c r="BB38" s="30"/>
      <c r="BC38" s="30"/>
      <c r="BD38" s="25">
        <v>15</v>
      </c>
      <c r="BE38" s="30"/>
      <c r="BF38" s="30"/>
      <c r="BG38" s="5">
        <f>17*0.8</f>
        <v>13.600000000000001</v>
      </c>
      <c r="BH38" s="30"/>
      <c r="BI38" s="30"/>
      <c r="BJ38" s="25">
        <v>17</v>
      </c>
      <c r="BK38" s="30"/>
      <c r="BL38" s="30"/>
      <c r="BM38" s="25">
        <v>8</v>
      </c>
      <c r="BN38" s="30"/>
      <c r="BO38" s="30"/>
      <c r="BP38" s="25">
        <v>13</v>
      </c>
      <c r="BQ38" s="30"/>
      <c r="BR38" s="30"/>
      <c r="BS38" s="30"/>
      <c r="BT38" s="25">
        <v>11</v>
      </c>
      <c r="BU38" s="30"/>
    </row>
    <row r="39" spans="1:73" ht="16.05" customHeight="1" x14ac:dyDescent="0.35">
      <c r="A39" s="38" t="s">
        <v>39</v>
      </c>
      <c r="B39" s="38"/>
      <c r="C39" s="45" t="s">
        <v>47</v>
      </c>
      <c r="D39" s="45"/>
      <c r="E39" s="23"/>
      <c r="F39" s="23"/>
      <c r="H39" s="25">
        <v>11</v>
      </c>
      <c r="I39" s="30"/>
      <c r="J39" s="30"/>
      <c r="K39" s="25">
        <v>18</v>
      </c>
      <c r="L39" s="30"/>
      <c r="M39" s="30"/>
      <c r="N39" s="25">
        <v>12</v>
      </c>
      <c r="O39" s="30"/>
      <c r="P39" s="30"/>
      <c r="Q39" s="25">
        <v>14</v>
      </c>
      <c r="R39" s="30"/>
      <c r="S39" s="30"/>
      <c r="T39" s="25">
        <v>14</v>
      </c>
      <c r="U39" s="30"/>
      <c r="V39" s="30"/>
      <c r="W39" s="25">
        <v>17</v>
      </c>
      <c r="X39" s="25"/>
      <c r="Y39" s="25"/>
      <c r="Z39" s="25">
        <v>17</v>
      </c>
      <c r="AA39" s="30"/>
      <c r="AB39" s="30"/>
      <c r="AC39" s="5">
        <f>14*1.1</f>
        <v>15.400000000000002</v>
      </c>
      <c r="AD39" s="30"/>
      <c r="AE39" s="30"/>
      <c r="AF39" s="25">
        <v>14</v>
      </c>
      <c r="AG39" s="30"/>
      <c r="AH39" s="30"/>
      <c r="AI39" s="25">
        <v>13</v>
      </c>
      <c r="AJ39" s="30"/>
      <c r="AK39" s="30"/>
      <c r="AL39" s="25">
        <v>16</v>
      </c>
      <c r="AM39" s="30"/>
      <c r="AN39" s="30"/>
      <c r="AO39" s="25">
        <v>15</v>
      </c>
      <c r="AP39" s="30"/>
      <c r="AQ39" s="30"/>
      <c r="AR39" s="25">
        <v>16</v>
      </c>
      <c r="AS39" s="30"/>
      <c r="AT39" s="30"/>
      <c r="AU39" s="25">
        <v>5</v>
      </c>
      <c r="AV39" s="30"/>
      <c r="AW39" s="30"/>
      <c r="AX39" s="25">
        <v>17</v>
      </c>
      <c r="AY39" s="30"/>
      <c r="AZ39" s="30"/>
      <c r="BA39" s="25">
        <v>9</v>
      </c>
      <c r="BB39" s="30"/>
      <c r="BC39" s="30"/>
      <c r="BD39" s="25">
        <v>17</v>
      </c>
      <c r="BE39" s="30"/>
      <c r="BF39" s="30"/>
      <c r="BG39" s="25">
        <v>19</v>
      </c>
      <c r="BH39" s="30"/>
      <c r="BI39" s="30"/>
      <c r="BJ39" s="25">
        <v>21</v>
      </c>
      <c r="BK39" s="30"/>
      <c r="BL39" s="30"/>
      <c r="BM39" s="25">
        <v>14</v>
      </c>
      <c r="BN39" s="30"/>
      <c r="BO39" s="30"/>
      <c r="BP39" s="5">
        <f>14*1.1</f>
        <v>15.400000000000002</v>
      </c>
      <c r="BQ39" s="30"/>
      <c r="BR39" s="30"/>
      <c r="BS39" s="30"/>
      <c r="BT39" s="25">
        <v>13</v>
      </c>
      <c r="BU39" s="30"/>
    </row>
    <row r="40" spans="1:73" ht="16.05" customHeight="1" x14ac:dyDescent="0.35">
      <c r="A40" s="38" t="s">
        <v>67</v>
      </c>
      <c r="B40" s="38"/>
      <c r="C40" s="45" t="s">
        <v>118</v>
      </c>
      <c r="D40" s="45"/>
      <c r="E40" s="23"/>
      <c r="F40" s="23"/>
      <c r="H40" s="25">
        <v>6</v>
      </c>
      <c r="I40" s="30"/>
      <c r="J40" s="30"/>
      <c r="K40" s="25">
        <v>12</v>
      </c>
      <c r="L40" s="30"/>
      <c r="M40" s="30"/>
      <c r="N40" s="25">
        <v>9</v>
      </c>
      <c r="O40" s="30"/>
      <c r="P40" s="30"/>
      <c r="Q40" s="25">
        <v>20</v>
      </c>
      <c r="R40" s="30"/>
      <c r="S40" s="30"/>
      <c r="T40" s="5">
        <f>12*1.1</f>
        <v>13.200000000000001</v>
      </c>
      <c r="U40" s="30"/>
      <c r="V40" s="30"/>
      <c r="W40" s="25">
        <v>21</v>
      </c>
      <c r="X40" s="25"/>
      <c r="Y40" s="25"/>
      <c r="Z40" s="25">
        <v>16</v>
      </c>
      <c r="AA40" s="30"/>
      <c r="AB40" s="30"/>
      <c r="AC40" s="25">
        <v>14</v>
      </c>
      <c r="AD40" s="30"/>
      <c r="AE40" s="30"/>
      <c r="AF40" s="25">
        <v>12</v>
      </c>
      <c r="AG40" s="30"/>
      <c r="AH40" s="30"/>
      <c r="AI40" s="25">
        <v>14</v>
      </c>
      <c r="AJ40" s="30"/>
      <c r="AK40" s="30"/>
      <c r="AL40" s="25">
        <v>5</v>
      </c>
      <c r="AM40" s="30"/>
      <c r="AN40" s="30"/>
      <c r="AO40" s="25">
        <v>19</v>
      </c>
      <c r="AP40" s="30"/>
      <c r="AQ40" s="30"/>
      <c r="AR40" s="25">
        <v>12</v>
      </c>
      <c r="AS40" s="30"/>
      <c r="AT40" s="30"/>
      <c r="AU40" s="25">
        <v>6</v>
      </c>
      <c r="AV40" s="30"/>
      <c r="AW40" s="30"/>
      <c r="AX40" s="25">
        <v>18</v>
      </c>
      <c r="AY40" s="30"/>
      <c r="AZ40" s="30"/>
      <c r="BA40" s="25">
        <v>6</v>
      </c>
      <c r="BB40" s="30"/>
      <c r="BC40" s="30"/>
      <c r="BD40" s="5">
        <f>14*1.1</f>
        <v>15.400000000000002</v>
      </c>
      <c r="BE40" s="30"/>
      <c r="BF40" s="30"/>
      <c r="BG40" s="25">
        <v>21</v>
      </c>
      <c r="BH40" s="30"/>
      <c r="BI40" s="30"/>
      <c r="BJ40" s="5">
        <f>15*1.1</f>
        <v>16.5</v>
      </c>
      <c r="BK40" s="30"/>
      <c r="BL40" s="30"/>
      <c r="BM40" s="25">
        <v>22</v>
      </c>
      <c r="BN40" s="30"/>
      <c r="BO40" s="30"/>
      <c r="BP40" s="25">
        <v>15</v>
      </c>
      <c r="BQ40" s="30"/>
      <c r="BR40" s="30"/>
      <c r="BS40" s="30"/>
      <c r="BT40" s="25">
        <v>18</v>
      </c>
      <c r="BU40" s="30"/>
    </row>
    <row r="41" spans="1:73" ht="16.05" customHeight="1" x14ac:dyDescent="0.35">
      <c r="A41" s="38" t="s">
        <v>122</v>
      </c>
      <c r="B41" s="38"/>
      <c r="C41" s="45" t="s">
        <v>123</v>
      </c>
      <c r="D41" s="45"/>
      <c r="E41" s="23"/>
      <c r="F41" s="23"/>
      <c r="H41" s="25">
        <v>22</v>
      </c>
      <c r="I41" s="30"/>
      <c r="J41" s="30"/>
      <c r="K41" s="25">
        <v>23</v>
      </c>
      <c r="L41" s="30"/>
      <c r="M41" s="30"/>
      <c r="N41" s="25">
        <v>10</v>
      </c>
      <c r="O41" s="30"/>
      <c r="P41" s="30"/>
      <c r="Q41" s="25">
        <v>21</v>
      </c>
      <c r="R41" s="30"/>
      <c r="S41" s="30"/>
      <c r="T41" s="25">
        <v>12</v>
      </c>
      <c r="U41" s="30"/>
      <c r="V41" s="30"/>
      <c r="W41" s="25">
        <v>24</v>
      </c>
      <c r="X41" s="25"/>
      <c r="Y41" s="25"/>
      <c r="Z41" s="25">
        <v>17</v>
      </c>
      <c r="AA41" s="30"/>
      <c r="AB41" s="30"/>
      <c r="AC41" s="5">
        <f>13*1.2</f>
        <v>15.6</v>
      </c>
      <c r="AD41" s="30"/>
      <c r="AE41" s="30"/>
      <c r="AF41" s="25">
        <v>17</v>
      </c>
      <c r="AG41" s="30"/>
      <c r="AH41" s="30"/>
      <c r="AI41" s="25">
        <v>18</v>
      </c>
      <c r="AJ41" s="30"/>
      <c r="AK41" s="30"/>
      <c r="AL41" s="25">
        <v>7</v>
      </c>
      <c r="AM41" s="30"/>
      <c r="AN41" s="30"/>
      <c r="AO41" s="25">
        <v>20</v>
      </c>
      <c r="AP41" s="30"/>
      <c r="AQ41" s="30"/>
      <c r="AR41" s="25">
        <v>8</v>
      </c>
      <c r="AS41" s="30"/>
      <c r="AT41" s="30"/>
      <c r="AU41" s="25">
        <v>8</v>
      </c>
      <c r="AV41" s="30"/>
      <c r="AW41" s="30"/>
      <c r="AX41" s="25">
        <v>16</v>
      </c>
      <c r="AY41" s="30"/>
      <c r="AZ41" s="30"/>
      <c r="BA41" s="25">
        <v>7</v>
      </c>
      <c r="BB41" s="30"/>
      <c r="BC41" s="30"/>
      <c r="BD41" s="25">
        <v>24</v>
      </c>
      <c r="BE41" s="30"/>
      <c r="BF41" s="30"/>
      <c r="BG41" s="25">
        <v>14</v>
      </c>
      <c r="BH41" s="30"/>
      <c r="BI41" s="30"/>
      <c r="BJ41" s="25">
        <v>11</v>
      </c>
      <c r="BK41" s="30"/>
      <c r="BL41" s="30"/>
      <c r="BM41" s="25">
        <v>15</v>
      </c>
      <c r="BN41" s="30"/>
      <c r="BO41" s="30"/>
      <c r="BP41" s="5">
        <f>13*0.8</f>
        <v>10.4</v>
      </c>
      <c r="BQ41" s="30"/>
      <c r="BR41" s="30"/>
      <c r="BS41" s="30"/>
      <c r="BT41" s="25">
        <v>12</v>
      </c>
      <c r="BU41" s="30"/>
    </row>
    <row r="42" spans="1:73" ht="16.05" customHeight="1" x14ac:dyDescent="0.35">
      <c r="A42" s="38" t="s">
        <v>48</v>
      </c>
      <c r="B42" s="38"/>
      <c r="C42" s="45" t="s">
        <v>109</v>
      </c>
      <c r="D42" s="45"/>
      <c r="E42" s="23"/>
      <c r="F42" s="23"/>
      <c r="H42" s="25">
        <v>16</v>
      </c>
      <c r="I42" s="30"/>
      <c r="J42" s="30"/>
      <c r="K42" s="25">
        <v>16</v>
      </c>
      <c r="L42" s="30"/>
      <c r="M42" s="30"/>
      <c r="N42" s="25">
        <v>17</v>
      </c>
      <c r="O42" s="30"/>
      <c r="P42" s="30"/>
      <c r="Q42" s="25">
        <v>13</v>
      </c>
      <c r="R42" s="30"/>
      <c r="S42" s="30"/>
      <c r="T42" s="25">
        <v>15</v>
      </c>
      <c r="U42" s="30"/>
      <c r="V42" s="30"/>
      <c r="W42" s="5">
        <f>15*1.1</f>
        <v>16.5</v>
      </c>
      <c r="X42" s="25"/>
      <c r="Y42" s="25"/>
      <c r="Z42" s="25">
        <v>9</v>
      </c>
      <c r="AA42" s="30"/>
      <c r="AB42" s="30"/>
      <c r="AC42" s="25">
        <v>17</v>
      </c>
      <c r="AD42" s="30"/>
      <c r="AE42" s="30"/>
      <c r="AF42" s="25">
        <f>15*1.2</f>
        <v>18</v>
      </c>
      <c r="AG42" s="30"/>
      <c r="AH42" s="30"/>
      <c r="AI42" s="25">
        <v>14</v>
      </c>
      <c r="AJ42" s="30"/>
      <c r="AK42" s="30"/>
      <c r="AL42" s="25">
        <v>7</v>
      </c>
      <c r="AM42" s="30"/>
      <c r="AN42" s="30"/>
      <c r="AO42" s="25">
        <v>22</v>
      </c>
      <c r="AP42" s="30"/>
      <c r="AQ42" s="30"/>
      <c r="AR42" s="25">
        <v>9</v>
      </c>
      <c r="AS42" s="30"/>
      <c r="AT42" s="30"/>
      <c r="AU42" s="25">
        <v>8</v>
      </c>
      <c r="AV42" s="30"/>
      <c r="AW42" s="30"/>
      <c r="AX42" s="25">
        <v>18</v>
      </c>
      <c r="AY42" s="30"/>
      <c r="AZ42" s="30"/>
      <c r="BA42" s="5">
        <f>16*0.8</f>
        <v>12.8</v>
      </c>
      <c r="BB42" s="30"/>
      <c r="BC42" s="30"/>
      <c r="BD42" s="25">
        <v>24</v>
      </c>
      <c r="BE42" s="30"/>
      <c r="BF42" s="30"/>
      <c r="BG42" s="5">
        <f>21*0.8</f>
        <v>16.8</v>
      </c>
      <c r="BH42" s="30"/>
      <c r="BI42" s="30"/>
      <c r="BJ42" s="25">
        <v>14</v>
      </c>
      <c r="BK42" s="30"/>
      <c r="BL42" s="30"/>
      <c r="BM42" s="5">
        <f>16*1.2</f>
        <v>19.2</v>
      </c>
      <c r="BN42" s="30"/>
      <c r="BO42" s="30"/>
      <c r="BP42" s="5">
        <f>14*1.1</f>
        <v>15.400000000000002</v>
      </c>
      <c r="BQ42" s="30"/>
      <c r="BR42" s="30"/>
      <c r="BS42" s="30"/>
      <c r="BT42" s="25">
        <v>11</v>
      </c>
      <c r="BU42" s="30"/>
    </row>
    <row r="43" spans="1:73" ht="16.05" customHeight="1" x14ac:dyDescent="0.35">
      <c r="A43" s="38" t="s">
        <v>41</v>
      </c>
      <c r="B43" s="38"/>
      <c r="C43" s="45" t="s">
        <v>45</v>
      </c>
      <c r="D43" s="45"/>
      <c r="E43" s="23"/>
      <c r="F43" s="23"/>
      <c r="H43" s="25">
        <v>9</v>
      </c>
      <c r="I43" s="30"/>
      <c r="J43" s="30"/>
      <c r="K43" s="25">
        <v>10</v>
      </c>
      <c r="L43" s="30"/>
      <c r="M43" s="30"/>
      <c r="N43" s="25">
        <v>15</v>
      </c>
      <c r="O43" s="30"/>
      <c r="P43" s="30"/>
      <c r="Q43" s="25">
        <v>21</v>
      </c>
      <c r="R43" s="30"/>
      <c r="S43" s="30"/>
      <c r="T43" s="25">
        <v>12</v>
      </c>
      <c r="U43" s="30"/>
      <c r="V43" s="30"/>
      <c r="W43" s="5">
        <v>21</v>
      </c>
      <c r="X43" s="25"/>
      <c r="Y43" s="25"/>
      <c r="Z43" s="25">
        <v>16</v>
      </c>
      <c r="AA43" s="30"/>
      <c r="AB43" s="30"/>
      <c r="AC43" s="5">
        <f>10*18/14</f>
        <v>12.857142857142858</v>
      </c>
      <c r="AD43" s="30"/>
      <c r="AE43" s="30"/>
      <c r="AF43" s="5">
        <f>13*1.2</f>
        <v>15.6</v>
      </c>
      <c r="AG43" s="30"/>
      <c r="AH43" s="30"/>
      <c r="AI43" s="25">
        <v>12</v>
      </c>
      <c r="AJ43" s="30"/>
      <c r="AK43" s="30"/>
      <c r="AL43" s="25">
        <v>11</v>
      </c>
      <c r="AM43" s="30"/>
      <c r="AN43" s="30"/>
      <c r="AO43" s="25">
        <v>11</v>
      </c>
      <c r="AP43" s="30"/>
      <c r="AQ43" s="30"/>
      <c r="AR43" s="25">
        <v>9</v>
      </c>
      <c r="AS43" s="30"/>
      <c r="AT43" s="30"/>
      <c r="AU43" s="5">
        <f>12*0.8</f>
        <v>9.6000000000000014</v>
      </c>
      <c r="AV43" s="30"/>
      <c r="AW43" s="30"/>
      <c r="AX43" s="25">
        <v>16</v>
      </c>
      <c r="AY43" s="30"/>
      <c r="AZ43" s="30"/>
      <c r="BA43" s="5">
        <f>12*0.8</f>
        <v>9.6000000000000014</v>
      </c>
      <c r="BB43" s="30"/>
      <c r="BC43" s="30"/>
      <c r="BD43" s="25">
        <v>16</v>
      </c>
      <c r="BE43" s="30"/>
      <c r="BF43" s="30"/>
      <c r="BG43" s="25">
        <v>19</v>
      </c>
      <c r="BH43" s="30"/>
      <c r="BI43" s="30"/>
      <c r="BJ43" s="25">
        <v>15</v>
      </c>
      <c r="BK43" s="30"/>
      <c r="BL43" s="30"/>
      <c r="BM43" s="25">
        <v>18</v>
      </c>
      <c r="BN43" s="30"/>
      <c r="BO43" s="30"/>
      <c r="BP43" s="25">
        <v>17</v>
      </c>
      <c r="BQ43" s="30"/>
      <c r="BR43" s="30"/>
      <c r="BS43" s="30"/>
      <c r="BT43" s="25">
        <v>13</v>
      </c>
      <c r="BU43" s="30"/>
    </row>
    <row r="44" spans="1:73" ht="16.05" customHeight="1" x14ac:dyDescent="0.35">
      <c r="A44" s="38" t="s">
        <v>116</v>
      </c>
      <c r="B44" s="38"/>
      <c r="C44" s="45" t="s">
        <v>117</v>
      </c>
      <c r="D44" s="45"/>
      <c r="E44" s="23"/>
      <c r="F44" s="23"/>
      <c r="H44" s="1">
        <v>11</v>
      </c>
      <c r="I44" s="30"/>
      <c r="J44" s="30"/>
      <c r="K44" s="25">
        <v>13</v>
      </c>
      <c r="L44" s="30"/>
      <c r="M44" s="30"/>
      <c r="N44" s="25">
        <v>23</v>
      </c>
      <c r="O44" s="30"/>
      <c r="P44" s="30"/>
      <c r="Q44" s="25">
        <v>10</v>
      </c>
      <c r="R44" s="30"/>
      <c r="S44" s="30"/>
      <c r="T44" s="25">
        <v>10</v>
      </c>
      <c r="U44" s="30"/>
      <c r="V44" s="30"/>
      <c r="W44" s="5">
        <v>24</v>
      </c>
      <c r="X44" s="25"/>
      <c r="Y44" s="25"/>
      <c r="Z44" s="25">
        <v>16</v>
      </c>
      <c r="AA44" s="30"/>
      <c r="AB44" s="30"/>
      <c r="AC44" s="25">
        <v>15</v>
      </c>
      <c r="AD44" s="30"/>
      <c r="AE44" s="30"/>
      <c r="AF44" s="25">
        <v>15</v>
      </c>
      <c r="AG44" s="30"/>
      <c r="AH44" s="30"/>
      <c r="AI44" s="25">
        <v>10</v>
      </c>
      <c r="AJ44" s="30"/>
      <c r="AK44" s="30"/>
      <c r="AL44" s="25">
        <v>15</v>
      </c>
      <c r="AM44" s="30"/>
      <c r="AN44" s="30"/>
      <c r="AO44" s="25">
        <v>20</v>
      </c>
      <c r="AP44" s="30"/>
      <c r="AQ44" s="30"/>
      <c r="AR44" s="25">
        <v>16</v>
      </c>
      <c r="AS44" s="30"/>
      <c r="AT44" s="30"/>
      <c r="AU44" s="25">
        <v>7</v>
      </c>
      <c r="AV44" s="30"/>
      <c r="AW44" s="30"/>
      <c r="AX44" s="25">
        <v>16</v>
      </c>
      <c r="AY44" s="30"/>
      <c r="AZ44" s="30"/>
      <c r="BA44" s="5">
        <f>14*0.8</f>
        <v>11.200000000000001</v>
      </c>
      <c r="BB44" s="30"/>
      <c r="BC44" s="30"/>
      <c r="BD44" s="25">
        <v>18</v>
      </c>
      <c r="BE44" s="30"/>
      <c r="BF44" s="30"/>
      <c r="BG44" s="25">
        <v>13</v>
      </c>
      <c r="BH44" s="30"/>
      <c r="BI44" s="30"/>
      <c r="BJ44" s="25">
        <v>13</v>
      </c>
      <c r="BK44" s="30"/>
      <c r="BL44" s="30"/>
      <c r="BM44" s="25">
        <v>24</v>
      </c>
      <c r="BN44" s="30"/>
      <c r="BO44" s="30"/>
      <c r="BP44" s="5">
        <f>14*1.1</f>
        <v>15.400000000000002</v>
      </c>
      <c r="BQ44" s="30"/>
      <c r="BR44" s="30"/>
      <c r="BS44" s="30"/>
      <c r="BT44" s="25">
        <v>14</v>
      </c>
      <c r="BU44" s="30"/>
    </row>
    <row r="45" spans="1:73" ht="16.05" customHeight="1" x14ac:dyDescent="0.35">
      <c r="A45" s="38" t="s">
        <v>124</v>
      </c>
      <c r="B45" s="38" t="s">
        <v>14</v>
      </c>
      <c r="C45" s="45" t="s">
        <v>126</v>
      </c>
      <c r="D45" s="45"/>
      <c r="E45" s="23"/>
      <c r="F45" s="23"/>
      <c r="H45" s="25">
        <v>19</v>
      </c>
      <c r="I45" s="30"/>
      <c r="J45" s="30"/>
      <c r="K45" s="5">
        <f>6*18/16</f>
        <v>6.75</v>
      </c>
      <c r="L45" s="30"/>
      <c r="M45" s="30"/>
      <c r="N45" s="25">
        <v>14</v>
      </c>
      <c r="O45" s="30"/>
      <c r="P45" s="30"/>
      <c r="Q45" s="25">
        <v>15</v>
      </c>
      <c r="R45" s="30"/>
      <c r="S45" s="30"/>
      <c r="T45" s="25">
        <v>13</v>
      </c>
      <c r="U45" s="30"/>
      <c r="V45" s="30"/>
      <c r="W45" s="5">
        <v>15</v>
      </c>
      <c r="X45" s="25"/>
      <c r="Y45" s="25"/>
      <c r="Z45" s="25">
        <v>12</v>
      </c>
      <c r="AA45" s="30"/>
      <c r="AB45" s="30"/>
      <c r="AC45" s="25">
        <v>22</v>
      </c>
      <c r="AD45" s="30"/>
      <c r="AE45" s="30"/>
      <c r="AF45" s="25">
        <v>15</v>
      </c>
      <c r="AG45" s="30"/>
      <c r="AH45" s="30"/>
      <c r="AI45" s="25">
        <v>9</v>
      </c>
      <c r="AJ45" s="30"/>
      <c r="AK45" s="30"/>
      <c r="AL45" s="25">
        <v>11</v>
      </c>
      <c r="AM45" s="30"/>
      <c r="AN45" s="30"/>
      <c r="AO45" s="25">
        <v>16</v>
      </c>
      <c r="AP45" s="30"/>
      <c r="AQ45" s="30"/>
      <c r="AR45" s="25">
        <v>8</v>
      </c>
      <c r="AS45" s="30"/>
      <c r="AT45" s="30"/>
      <c r="AU45" s="25">
        <v>9</v>
      </c>
      <c r="AV45" s="30"/>
      <c r="AW45" s="30"/>
      <c r="AX45" s="5">
        <f>27*0.8</f>
        <v>21.6</v>
      </c>
      <c r="AY45" s="30"/>
      <c r="AZ45" s="30"/>
      <c r="BA45" s="25">
        <v>12</v>
      </c>
      <c r="BB45" s="30"/>
      <c r="BC45" s="30"/>
      <c r="BD45" s="5">
        <f>12*18/14</f>
        <v>15.428571428571429</v>
      </c>
      <c r="BE45" s="30"/>
      <c r="BF45" s="30"/>
      <c r="BG45" s="25">
        <v>12</v>
      </c>
      <c r="BH45" s="30"/>
      <c r="BI45" s="30"/>
      <c r="BJ45" s="25">
        <v>15</v>
      </c>
      <c r="BK45" s="30"/>
      <c r="BL45" s="30"/>
      <c r="BM45" s="25">
        <v>16</v>
      </c>
      <c r="BN45" s="30"/>
      <c r="BO45" s="30"/>
      <c r="BP45" s="25">
        <v>18</v>
      </c>
      <c r="BQ45" s="30"/>
      <c r="BR45" s="30"/>
      <c r="BS45" s="30"/>
      <c r="BT45" s="25">
        <v>17</v>
      </c>
      <c r="BU45" s="30"/>
    </row>
    <row r="46" spans="1:73" ht="16.05" customHeight="1" x14ac:dyDescent="0.35">
      <c r="A46" s="38" t="s">
        <v>125</v>
      </c>
      <c r="C46" s="45" t="s">
        <v>42</v>
      </c>
      <c r="D46" s="45"/>
      <c r="E46" s="23"/>
      <c r="F46" s="23"/>
      <c r="H46" s="25">
        <v>12</v>
      </c>
      <c r="I46" s="30"/>
      <c r="J46" s="30"/>
      <c r="K46" s="5">
        <f>14*0.8</f>
        <v>11.200000000000001</v>
      </c>
      <c r="L46" s="30"/>
      <c r="M46" s="30"/>
      <c r="N46" s="25">
        <v>16</v>
      </c>
      <c r="O46" s="30"/>
      <c r="P46" s="30"/>
      <c r="Q46" s="25">
        <v>13</v>
      </c>
      <c r="R46" s="30"/>
      <c r="S46" s="30"/>
      <c r="T46" s="5">
        <f>8*1.1</f>
        <v>8.8000000000000007</v>
      </c>
      <c r="U46" s="30"/>
      <c r="V46" s="30"/>
      <c r="W46" s="5">
        <v>13</v>
      </c>
      <c r="X46" s="25"/>
      <c r="Y46" s="25"/>
      <c r="Z46" s="25">
        <v>16</v>
      </c>
      <c r="AA46" s="30"/>
      <c r="AB46" s="30"/>
      <c r="AC46" s="25">
        <f>12</f>
        <v>12</v>
      </c>
      <c r="AD46" s="30"/>
      <c r="AE46" s="30"/>
      <c r="AF46" s="25">
        <v>11</v>
      </c>
      <c r="AG46" s="30"/>
      <c r="AH46" s="30"/>
      <c r="AI46" s="25">
        <v>12</v>
      </c>
      <c r="AJ46" s="30"/>
      <c r="AK46" s="30"/>
      <c r="AL46" s="25">
        <f>15*0.8</f>
        <v>12</v>
      </c>
      <c r="AM46" s="30"/>
      <c r="AN46" s="30"/>
      <c r="AO46" s="25">
        <v>20</v>
      </c>
      <c r="AP46" s="30"/>
      <c r="AQ46" s="30"/>
      <c r="AR46" s="5">
        <f>19*0.8</f>
        <v>15.200000000000001</v>
      </c>
      <c r="AS46" s="30"/>
      <c r="AT46" s="30"/>
      <c r="AU46" s="25">
        <v>4</v>
      </c>
      <c r="AV46" s="30"/>
      <c r="AW46" s="30"/>
      <c r="AX46" s="25">
        <v>17</v>
      </c>
      <c r="AY46" s="30"/>
      <c r="AZ46" s="30"/>
      <c r="BA46" s="25">
        <v>6</v>
      </c>
      <c r="BB46" s="30"/>
      <c r="BC46" s="30"/>
      <c r="BD46" s="25">
        <v>16</v>
      </c>
      <c r="BE46" s="30"/>
      <c r="BF46" s="30"/>
      <c r="BG46" s="25">
        <v>16</v>
      </c>
      <c r="BH46" s="30"/>
      <c r="BI46" s="30"/>
      <c r="BJ46" s="25">
        <v>15</v>
      </c>
      <c r="BK46" s="30"/>
      <c r="BL46" s="30"/>
      <c r="BM46" s="25">
        <v>16</v>
      </c>
      <c r="BN46" s="30"/>
      <c r="BO46" s="30"/>
      <c r="BP46" s="25">
        <v>20</v>
      </c>
      <c r="BQ46" s="30"/>
      <c r="BR46" s="30"/>
      <c r="BS46" s="30"/>
      <c r="BT46" s="25">
        <v>14</v>
      </c>
      <c r="BU46" s="30"/>
    </row>
    <row r="47" spans="1:73" ht="16.05" customHeight="1" x14ac:dyDescent="0.35">
      <c r="A47" s="38" t="s">
        <v>135</v>
      </c>
      <c r="B47" s="38"/>
      <c r="C47" s="45" t="s">
        <v>136</v>
      </c>
      <c r="D47" s="45"/>
      <c r="E47" s="23"/>
      <c r="F47" s="23"/>
      <c r="H47" s="25">
        <v>16</v>
      </c>
      <c r="I47" s="30"/>
      <c r="J47" s="30"/>
      <c r="K47" s="5">
        <f>19*0.8</f>
        <v>15.200000000000001</v>
      </c>
      <c r="L47" s="30"/>
      <c r="M47" s="30"/>
      <c r="N47" s="25">
        <v>22</v>
      </c>
      <c r="O47" s="30"/>
      <c r="P47" s="30"/>
      <c r="Q47" s="25">
        <v>15</v>
      </c>
      <c r="R47" s="30"/>
      <c r="S47" s="30"/>
      <c r="T47" s="25">
        <f>10*0.8</f>
        <v>8</v>
      </c>
      <c r="U47" s="30"/>
      <c r="V47" s="30"/>
      <c r="W47" s="5">
        <v>20</v>
      </c>
      <c r="X47" s="25"/>
      <c r="Y47" s="25"/>
      <c r="Z47" s="25">
        <v>15</v>
      </c>
      <c r="AB47" s="30"/>
      <c r="AC47" s="5">
        <f>11*18/14</f>
        <v>14.142857142857142</v>
      </c>
      <c r="AD47" s="30"/>
      <c r="AE47" s="30"/>
      <c r="AF47" s="25">
        <v>7</v>
      </c>
      <c r="AG47" s="30"/>
      <c r="AH47" s="30"/>
      <c r="AI47" s="25">
        <v>12</v>
      </c>
      <c r="AJ47" s="30"/>
      <c r="AK47" s="30"/>
      <c r="AL47" s="25">
        <v>15</v>
      </c>
      <c r="AM47" s="30"/>
      <c r="AN47" s="30"/>
      <c r="AO47" s="25">
        <v>12</v>
      </c>
      <c r="AP47" s="30"/>
      <c r="AQ47" s="30"/>
      <c r="AR47" s="25">
        <v>19</v>
      </c>
      <c r="AS47" s="30"/>
      <c r="AT47" s="30"/>
      <c r="AU47" s="25">
        <v>2</v>
      </c>
      <c r="AV47" s="30"/>
      <c r="AW47" s="30"/>
      <c r="AX47" s="25">
        <v>14</v>
      </c>
      <c r="AY47" s="30"/>
      <c r="AZ47" s="30"/>
      <c r="BA47" s="25">
        <v>7</v>
      </c>
      <c r="BB47" s="30"/>
      <c r="BC47" s="30"/>
      <c r="BD47" s="25">
        <v>15</v>
      </c>
      <c r="BE47" s="30"/>
      <c r="BF47" s="30"/>
      <c r="BG47" s="25">
        <v>12</v>
      </c>
      <c r="BH47" s="30"/>
      <c r="BI47" s="30"/>
      <c r="BJ47" s="25">
        <v>15</v>
      </c>
      <c r="BK47" s="30"/>
      <c r="BL47" s="30"/>
      <c r="BM47" s="5">
        <f>16*1.1</f>
        <v>17.600000000000001</v>
      </c>
      <c r="BN47" s="30"/>
      <c r="BO47" s="30"/>
      <c r="BP47" s="5">
        <f>11*18/14</f>
        <v>14.142857142857142</v>
      </c>
      <c r="BQ47" s="30"/>
      <c r="BR47" s="30"/>
      <c r="BS47" s="30"/>
      <c r="BT47" s="25">
        <v>10</v>
      </c>
      <c r="BU47" s="30"/>
    </row>
    <row r="48" spans="1:73" ht="16.05" customHeight="1" x14ac:dyDescent="0.35">
      <c r="A48" s="38" t="s">
        <v>114</v>
      </c>
      <c r="B48" s="38"/>
      <c r="C48" s="45" t="s">
        <v>119</v>
      </c>
      <c r="D48" s="45"/>
      <c r="E48" s="23"/>
      <c r="F48" s="23"/>
      <c r="H48" s="25">
        <v>14</v>
      </c>
      <c r="K48" s="25">
        <v>9</v>
      </c>
      <c r="N48" s="25">
        <v>20</v>
      </c>
      <c r="Q48" s="25">
        <v>12</v>
      </c>
      <c r="T48" s="25">
        <v>9</v>
      </c>
      <c r="W48" s="5">
        <v>15</v>
      </c>
      <c r="Z48" s="25">
        <v>19</v>
      </c>
      <c r="AC48" s="25">
        <v>17</v>
      </c>
      <c r="AF48" s="25">
        <v>11</v>
      </c>
      <c r="AI48" s="25">
        <v>6</v>
      </c>
      <c r="AL48" s="5">
        <f>15*1.1</f>
        <v>16.5</v>
      </c>
      <c r="AO48" s="25">
        <v>12</v>
      </c>
      <c r="AR48" s="25">
        <v>6</v>
      </c>
      <c r="AU48" s="25">
        <v>7</v>
      </c>
      <c r="AX48" s="25">
        <v>17</v>
      </c>
      <c r="BA48" s="25">
        <v>7</v>
      </c>
      <c r="BD48" s="25">
        <v>18</v>
      </c>
      <c r="BG48" s="25">
        <v>20</v>
      </c>
      <c r="BJ48" s="25">
        <v>8</v>
      </c>
      <c r="BM48" s="25">
        <v>14</v>
      </c>
      <c r="BP48" s="25">
        <v>17</v>
      </c>
      <c r="BT48" s="25">
        <v>13</v>
      </c>
    </row>
    <row r="49" spans="1:72" ht="16.05" customHeight="1" x14ac:dyDescent="0.35">
      <c r="A49" s="38" t="s">
        <v>115</v>
      </c>
      <c r="B49" s="38"/>
      <c r="C49" s="45" t="s">
        <v>47</v>
      </c>
      <c r="D49" s="45"/>
      <c r="E49" s="23"/>
      <c r="F49" s="23"/>
      <c r="H49" s="25">
        <v>15</v>
      </c>
      <c r="K49" s="25">
        <v>13</v>
      </c>
      <c r="N49" s="25">
        <v>22</v>
      </c>
      <c r="Q49" s="25">
        <v>16</v>
      </c>
      <c r="T49" s="25">
        <v>14</v>
      </c>
      <c r="W49" s="5">
        <v>21</v>
      </c>
      <c r="Z49" s="25">
        <v>16</v>
      </c>
      <c r="AC49" s="25">
        <v>20</v>
      </c>
      <c r="AF49" s="25">
        <v>11</v>
      </c>
      <c r="AI49" s="25">
        <v>12</v>
      </c>
      <c r="AL49" s="25">
        <v>12</v>
      </c>
      <c r="AO49" s="25">
        <v>15</v>
      </c>
      <c r="AR49" s="25">
        <v>8</v>
      </c>
      <c r="AU49" s="25">
        <v>6</v>
      </c>
      <c r="AX49" s="25">
        <v>18</v>
      </c>
      <c r="BA49" s="25">
        <v>15</v>
      </c>
      <c r="BD49" s="25">
        <v>16</v>
      </c>
      <c r="BG49" s="25">
        <v>15</v>
      </c>
      <c r="BJ49" s="25">
        <f>15*18/15</f>
        <v>18</v>
      </c>
      <c r="BM49" s="25">
        <v>24</v>
      </c>
      <c r="BP49" s="25">
        <v>19</v>
      </c>
      <c r="BT49" s="25">
        <v>9</v>
      </c>
    </row>
    <row r="50" spans="1:72" ht="16.05" customHeight="1" x14ac:dyDescent="0.35">
      <c r="A50" s="38" t="s">
        <v>46</v>
      </c>
      <c r="B50" s="38"/>
      <c r="C50" s="45" t="s">
        <v>40</v>
      </c>
      <c r="D50" s="45"/>
      <c r="E50" s="23"/>
      <c r="F50" s="23"/>
      <c r="H50" s="25">
        <v>16</v>
      </c>
      <c r="K50" s="25">
        <v>12</v>
      </c>
      <c r="N50" s="25">
        <v>20</v>
      </c>
      <c r="Q50" s="25">
        <v>24</v>
      </c>
      <c r="T50" s="25">
        <v>11</v>
      </c>
      <c r="W50" s="5">
        <v>16</v>
      </c>
      <c r="Z50" s="25">
        <v>12</v>
      </c>
      <c r="AC50" s="5">
        <f>9*18/15</f>
        <v>10.8</v>
      </c>
      <c r="AF50" s="25">
        <v>12</v>
      </c>
      <c r="AI50" s="25">
        <v>12</v>
      </c>
      <c r="AL50" s="5">
        <f>23*0.8</f>
        <v>18.400000000000002</v>
      </c>
      <c r="AO50" s="25">
        <v>19</v>
      </c>
      <c r="AR50" s="25">
        <v>10</v>
      </c>
      <c r="AU50" s="25">
        <v>7</v>
      </c>
      <c r="AX50" s="25">
        <v>17</v>
      </c>
      <c r="BA50" s="25">
        <v>8</v>
      </c>
      <c r="BD50" s="25">
        <v>18</v>
      </c>
      <c r="BG50" s="25">
        <f>15*1.2</f>
        <v>18</v>
      </c>
      <c r="BJ50" s="25">
        <v>15</v>
      </c>
      <c r="BM50" s="25">
        <v>18</v>
      </c>
      <c r="BP50" s="5">
        <f>(14*18/17)*0.9</f>
        <v>13.341176470588236</v>
      </c>
      <c r="BT50" s="47">
        <v>14</v>
      </c>
    </row>
    <row r="51" spans="1:72" ht="16.05" customHeight="1" x14ac:dyDescent="0.35">
      <c r="A51" s="38" t="s">
        <v>50</v>
      </c>
      <c r="B51" s="38"/>
      <c r="C51" s="45" t="s">
        <v>120</v>
      </c>
      <c r="D51" s="45"/>
      <c r="E51" s="23"/>
      <c r="F51" s="23"/>
      <c r="H51" s="25">
        <v>15</v>
      </c>
      <c r="K51" s="25">
        <v>16</v>
      </c>
      <c r="N51" s="25">
        <v>14</v>
      </c>
      <c r="Q51" s="25">
        <v>20</v>
      </c>
      <c r="T51" s="25">
        <v>14</v>
      </c>
      <c r="W51" s="5">
        <v>24</v>
      </c>
      <c r="Z51" s="25">
        <v>13</v>
      </c>
      <c r="AC51" s="25">
        <v>19</v>
      </c>
      <c r="AF51" s="25">
        <v>8</v>
      </c>
      <c r="AI51" s="25">
        <v>8</v>
      </c>
      <c r="AL51" s="25">
        <v>17</v>
      </c>
      <c r="AO51" s="25">
        <v>12</v>
      </c>
      <c r="AR51" s="25">
        <v>11</v>
      </c>
      <c r="AU51" s="25">
        <v>9</v>
      </c>
      <c r="AX51" s="25">
        <v>21</v>
      </c>
      <c r="BA51" s="25">
        <f>20*0.8</f>
        <v>16</v>
      </c>
      <c r="BD51" s="25">
        <v>10</v>
      </c>
      <c r="BG51" s="5">
        <f>14*18/15</f>
        <v>16.8</v>
      </c>
      <c r="BJ51" s="25">
        <v>17</v>
      </c>
      <c r="BM51" s="25">
        <v>16</v>
      </c>
      <c r="BP51" s="5">
        <f>18*0.7</f>
        <v>12.6</v>
      </c>
      <c r="BT51" s="25">
        <v>13</v>
      </c>
    </row>
    <row r="52" spans="1:72" ht="16.05" customHeight="1" x14ac:dyDescent="0.35">
      <c r="A52" s="38" t="s">
        <v>51</v>
      </c>
      <c r="B52" s="38"/>
      <c r="C52" s="45" t="s">
        <v>121</v>
      </c>
      <c r="D52" s="45"/>
      <c r="E52" s="23"/>
      <c r="F52" s="23"/>
      <c r="G52" s="23" t="s">
        <v>14</v>
      </c>
      <c r="H52" s="25">
        <v>12</v>
      </c>
      <c r="K52" s="25">
        <v>15</v>
      </c>
      <c r="N52" s="25">
        <v>18</v>
      </c>
      <c r="Q52" s="25">
        <v>9</v>
      </c>
      <c r="T52" s="25">
        <v>12</v>
      </c>
      <c r="W52" s="5">
        <v>19</v>
      </c>
      <c r="Z52" s="25">
        <v>16</v>
      </c>
      <c r="AC52" s="25">
        <v>14</v>
      </c>
      <c r="AF52" s="25">
        <v>20</v>
      </c>
      <c r="AI52" s="5">
        <f>9*18/16</f>
        <v>10.125</v>
      </c>
      <c r="AL52" s="25">
        <v>12</v>
      </c>
      <c r="AO52" s="25">
        <v>15</v>
      </c>
      <c r="AR52" s="25">
        <v>21</v>
      </c>
      <c r="AU52" s="5">
        <f>9*18/14</f>
        <v>11.571428571428571</v>
      </c>
      <c r="AX52" s="5">
        <f>17*0.9</f>
        <v>15.3</v>
      </c>
      <c r="BA52" s="25">
        <v>11</v>
      </c>
      <c r="BD52" s="25">
        <v>16</v>
      </c>
      <c r="BG52" s="25">
        <v>15</v>
      </c>
      <c r="BJ52" s="25">
        <v>16</v>
      </c>
      <c r="BM52" s="25">
        <v>16</v>
      </c>
      <c r="BP52" s="25">
        <v>9</v>
      </c>
      <c r="BT52" s="25">
        <v>10</v>
      </c>
    </row>
    <row r="53" spans="1:72" ht="16.05" customHeight="1" x14ac:dyDescent="0.35">
      <c r="A53" s="38" t="s">
        <v>72</v>
      </c>
      <c r="B53" s="38"/>
      <c r="C53" s="45" t="s">
        <v>73</v>
      </c>
      <c r="D53" s="45"/>
      <c r="E53" s="38"/>
      <c r="F53" s="38"/>
      <c r="G53" s="39"/>
      <c r="H53" s="25">
        <v>19</v>
      </c>
      <c r="K53" s="25">
        <v>20</v>
      </c>
      <c r="N53" s="25">
        <v>13</v>
      </c>
      <c r="Q53" s="25">
        <v>16</v>
      </c>
      <c r="T53" s="25">
        <v>12</v>
      </c>
      <c r="W53" s="5">
        <v>16</v>
      </c>
      <c r="Z53" s="25">
        <v>16</v>
      </c>
      <c r="AC53" s="25">
        <v>13</v>
      </c>
      <c r="AF53" s="29">
        <v>13</v>
      </c>
      <c r="AI53" s="5">
        <f>7*18/17</f>
        <v>7.4117647058823533</v>
      </c>
      <c r="AL53" s="25">
        <v>15</v>
      </c>
      <c r="AO53" s="5">
        <f>23*0.8</f>
        <v>18.400000000000002</v>
      </c>
      <c r="AR53" s="25">
        <v>8</v>
      </c>
      <c r="AU53" s="25">
        <v>12</v>
      </c>
      <c r="AX53" s="25">
        <v>19</v>
      </c>
      <c r="BA53" s="25">
        <v>8</v>
      </c>
      <c r="BD53" s="5">
        <f>11*18/14</f>
        <v>14.142857142857142</v>
      </c>
      <c r="BG53" s="25">
        <v>15</v>
      </c>
      <c r="BJ53" s="25">
        <v>18</v>
      </c>
      <c r="BM53" s="25">
        <v>17</v>
      </c>
      <c r="BP53" s="5">
        <f>13*0.8</f>
        <v>10.4</v>
      </c>
      <c r="BT53" s="25">
        <v>12</v>
      </c>
    </row>
    <row r="54" spans="1:72" ht="16.05" customHeight="1" x14ac:dyDescent="0.35">
      <c r="A54" s="38" t="s">
        <v>14</v>
      </c>
      <c r="B54" s="38"/>
      <c r="E54" s="38"/>
      <c r="F54" s="38"/>
      <c r="G54" s="39"/>
      <c r="H54" s="25">
        <v>14</v>
      </c>
      <c r="K54" s="25">
        <v>16</v>
      </c>
      <c r="N54" s="25">
        <v>14</v>
      </c>
      <c r="Q54" s="25">
        <v>18</v>
      </c>
      <c r="T54" s="25">
        <v>17</v>
      </c>
      <c r="Z54" s="25">
        <v>11</v>
      </c>
      <c r="AC54" s="25">
        <v>15</v>
      </c>
      <c r="AF54" s="29">
        <v>10</v>
      </c>
      <c r="AI54" s="5">
        <f>10*18/16</f>
        <v>11.25</v>
      </c>
      <c r="AL54" s="25">
        <v>18</v>
      </c>
      <c r="AO54" s="25">
        <v>21</v>
      </c>
      <c r="AR54" s="5">
        <f>16*1.1</f>
        <v>17.600000000000001</v>
      </c>
      <c r="AU54" s="25">
        <v>9</v>
      </c>
      <c r="AX54" s="25">
        <v>22</v>
      </c>
      <c r="BA54" s="25">
        <v>5</v>
      </c>
      <c r="BD54" s="25">
        <v>16</v>
      </c>
      <c r="BG54" s="25">
        <v>18</v>
      </c>
      <c r="BJ54" s="25">
        <v>19</v>
      </c>
      <c r="BM54" s="25">
        <v>21</v>
      </c>
      <c r="BP54" s="25">
        <f>10*18/15</f>
        <v>12</v>
      </c>
      <c r="BT54" s="25">
        <v>16</v>
      </c>
    </row>
    <row r="55" spans="1:72" ht="16.05" customHeight="1" x14ac:dyDescent="0.35">
      <c r="A55" s="38" t="s">
        <v>101</v>
      </c>
      <c r="B55" s="38" t="s">
        <v>102</v>
      </c>
      <c r="E55" s="38"/>
      <c r="F55" s="38"/>
      <c r="G55" s="39"/>
      <c r="H55" s="5">
        <f>12*1.2</f>
        <v>14.399999999999999</v>
      </c>
      <c r="K55" s="25">
        <v>17</v>
      </c>
      <c r="N55" s="25">
        <v>16</v>
      </c>
      <c r="Q55" s="25">
        <v>16</v>
      </c>
      <c r="T55" s="25">
        <v>12</v>
      </c>
      <c r="Z55" s="25">
        <v>17</v>
      </c>
      <c r="AC55" s="25">
        <v>12</v>
      </c>
      <c r="AF55" s="25">
        <v>19</v>
      </c>
      <c r="AI55" s="25">
        <v>8</v>
      </c>
      <c r="AL55" s="25">
        <v>7</v>
      </c>
      <c r="AO55" s="25">
        <v>12</v>
      </c>
      <c r="AR55" s="25">
        <v>13</v>
      </c>
      <c r="AU55" s="25">
        <v>1</v>
      </c>
      <c r="AX55" s="5">
        <f>19*1.1</f>
        <v>20.900000000000002</v>
      </c>
      <c r="BA55" s="25">
        <v>8</v>
      </c>
      <c r="BD55" s="25">
        <v>16</v>
      </c>
      <c r="BG55" s="5">
        <f>16*18/17</f>
        <v>16.941176470588236</v>
      </c>
      <c r="BJ55" s="25">
        <v>19</v>
      </c>
      <c r="BM55" s="25">
        <v>15</v>
      </c>
      <c r="BP55" s="25">
        <v>14</v>
      </c>
      <c r="BT55" s="25">
        <v>17</v>
      </c>
    </row>
    <row r="56" spans="1:72" ht="16.05" customHeight="1" x14ac:dyDescent="0.35">
      <c r="A56" s="38" t="s">
        <v>103</v>
      </c>
      <c r="B56" s="38" t="s">
        <v>104</v>
      </c>
      <c r="E56" s="38"/>
      <c r="F56" s="38"/>
      <c r="G56" s="39">
        <v>139</v>
      </c>
      <c r="H56" s="5">
        <f>18*1.1</f>
        <v>19.8</v>
      </c>
      <c r="K56" s="5">
        <f>18*0.8</f>
        <v>14.4</v>
      </c>
      <c r="N56" s="5">
        <f>14*0.8</f>
        <v>11.200000000000001</v>
      </c>
      <c r="Q56" s="25">
        <v>16</v>
      </c>
      <c r="T56" s="25">
        <v>10</v>
      </c>
      <c r="Z56" s="5">
        <f>12*1.1</f>
        <v>13.200000000000001</v>
      </c>
      <c r="AC56" s="25">
        <v>17</v>
      </c>
      <c r="AF56" s="25">
        <v>14</v>
      </c>
      <c r="AI56" s="25">
        <v>11</v>
      </c>
      <c r="AL56" s="25">
        <v>13</v>
      </c>
      <c r="AO56" s="25">
        <v>6</v>
      </c>
      <c r="AR56" s="25">
        <v>14</v>
      </c>
      <c r="AU56" s="25">
        <v>9</v>
      </c>
      <c r="AX56" s="25">
        <v>19</v>
      </c>
      <c r="BA56" s="25">
        <v>6</v>
      </c>
      <c r="BD56" s="25">
        <v>19</v>
      </c>
      <c r="BG56" s="25">
        <v>18</v>
      </c>
      <c r="BJ56" s="5">
        <f>18*1.1</f>
        <v>19.8</v>
      </c>
      <c r="BM56" s="25">
        <v>16</v>
      </c>
      <c r="BP56" s="25">
        <v>19</v>
      </c>
      <c r="BT56" s="25">
        <v>15</v>
      </c>
    </row>
    <row r="57" spans="1:72" ht="16.05" customHeight="1" x14ac:dyDescent="0.35">
      <c r="A57" s="40" t="s">
        <v>105</v>
      </c>
      <c r="B57" s="38" t="s">
        <v>102</v>
      </c>
      <c r="E57" s="38"/>
      <c r="F57" s="38"/>
      <c r="G57" s="39">
        <v>133</v>
      </c>
      <c r="H57" s="5">
        <f>18*1.2</f>
        <v>21.599999999999998</v>
      </c>
      <c r="K57" s="5">
        <f>16*1.1</f>
        <v>17.600000000000001</v>
      </c>
      <c r="N57" s="25">
        <v>15</v>
      </c>
      <c r="Q57" s="25">
        <v>12</v>
      </c>
      <c r="T57" s="5">
        <f>(12*18/17)*0.8</f>
        <v>10.164705882352941</v>
      </c>
      <c r="Z57" s="25">
        <v>18</v>
      </c>
      <c r="AC57" s="29">
        <v>15</v>
      </c>
      <c r="AF57" s="25">
        <v>13</v>
      </c>
      <c r="AI57" s="5">
        <f>9*18/17</f>
        <v>9.5294117647058822</v>
      </c>
      <c r="AL57" s="25">
        <v>11</v>
      </c>
      <c r="AO57" s="25">
        <v>13</v>
      </c>
      <c r="AR57" s="25">
        <v>19</v>
      </c>
      <c r="AU57" s="25">
        <v>4</v>
      </c>
      <c r="AX57" s="25">
        <v>24</v>
      </c>
      <c r="BA57" s="25">
        <v>10</v>
      </c>
      <c r="BD57" s="25">
        <v>17</v>
      </c>
      <c r="BG57" s="25">
        <v>18</v>
      </c>
      <c r="BJ57" s="25">
        <v>13</v>
      </c>
      <c r="BM57" s="25">
        <v>22</v>
      </c>
      <c r="BP57" s="25">
        <v>15</v>
      </c>
      <c r="BT57" s="25">
        <v>17</v>
      </c>
    </row>
    <row r="58" spans="1:72" ht="16.05" customHeight="1" x14ac:dyDescent="0.35">
      <c r="A58" s="40" t="s">
        <v>105</v>
      </c>
      <c r="B58" s="40">
        <v>73.7</v>
      </c>
      <c r="E58" s="38"/>
      <c r="F58" s="38"/>
      <c r="G58" s="39">
        <v>125</v>
      </c>
      <c r="H58" s="25">
        <v>6</v>
      </c>
      <c r="K58" s="25">
        <v>16</v>
      </c>
      <c r="N58" s="25">
        <v>15</v>
      </c>
      <c r="Q58" s="5">
        <f>12*18/14</f>
        <v>15.428571428571429</v>
      </c>
      <c r="T58" s="25">
        <v>14</v>
      </c>
      <c r="Z58" s="25">
        <v>17</v>
      </c>
      <c r="AC58" s="29">
        <v>16</v>
      </c>
      <c r="AF58" s="25">
        <v>16</v>
      </c>
      <c r="AI58" s="25">
        <v>4</v>
      </c>
      <c r="AL58" s="25">
        <v>8</v>
      </c>
      <c r="AO58" s="25">
        <v>16</v>
      </c>
      <c r="AR58" s="25">
        <v>10</v>
      </c>
      <c r="AU58" s="25">
        <v>6</v>
      </c>
      <c r="AX58" s="25">
        <v>15</v>
      </c>
      <c r="BA58" s="25">
        <v>8</v>
      </c>
      <c r="BD58" s="25">
        <v>17</v>
      </c>
      <c r="BG58" s="25">
        <v>16</v>
      </c>
      <c r="BJ58" s="5">
        <f>16*1.1</f>
        <v>17.600000000000001</v>
      </c>
      <c r="BM58" s="25">
        <v>18</v>
      </c>
      <c r="BP58" s="25">
        <v>15</v>
      </c>
      <c r="BT58" s="25">
        <v>12</v>
      </c>
    </row>
    <row r="59" spans="1:72" ht="16.05" customHeight="1" x14ac:dyDescent="0.35">
      <c r="A59" s="40" t="s">
        <v>106</v>
      </c>
      <c r="B59" s="40">
        <v>71.099999999999994</v>
      </c>
      <c r="E59" s="38"/>
      <c r="F59" s="38"/>
      <c r="G59" s="39">
        <v>135</v>
      </c>
      <c r="H59" s="5">
        <f>15*1.1</f>
        <v>16.5</v>
      </c>
      <c r="K59" s="5">
        <f>21*0.8</f>
        <v>16.8</v>
      </c>
      <c r="N59" s="25">
        <v>24</v>
      </c>
      <c r="Q59" s="25">
        <v>19</v>
      </c>
      <c r="T59" s="5">
        <v>8</v>
      </c>
      <c r="Z59" s="25">
        <v>18</v>
      </c>
      <c r="AC59" s="25">
        <v>17</v>
      </c>
      <c r="AF59" s="25">
        <v>16</v>
      </c>
      <c r="AI59" s="25">
        <v>14</v>
      </c>
      <c r="AL59" s="25">
        <v>15</v>
      </c>
      <c r="AO59" s="25">
        <v>13</v>
      </c>
      <c r="AR59" s="5">
        <f>11*1.1</f>
        <v>12.100000000000001</v>
      </c>
      <c r="AU59" s="25">
        <v>14</v>
      </c>
      <c r="AX59" s="25">
        <v>19</v>
      </c>
      <c r="BA59" s="25">
        <v>6</v>
      </c>
      <c r="BD59" s="25">
        <v>8</v>
      </c>
      <c r="BG59" s="25">
        <v>12</v>
      </c>
      <c r="BJ59" s="25">
        <v>15</v>
      </c>
      <c r="BM59" s="25">
        <v>21</v>
      </c>
      <c r="BP59" s="25">
        <v>13</v>
      </c>
      <c r="BT59" s="25">
        <v>15</v>
      </c>
    </row>
    <row r="60" spans="1:72" ht="16.05" customHeight="1" x14ac:dyDescent="0.35">
      <c r="A60" s="40" t="s">
        <v>107</v>
      </c>
      <c r="B60" s="40">
        <v>70.2</v>
      </c>
      <c r="E60" s="38"/>
      <c r="F60" s="38"/>
      <c r="G60" s="39"/>
      <c r="H60" s="5">
        <f>27*0.8</f>
        <v>21.6</v>
      </c>
      <c r="K60" s="25">
        <v>11</v>
      </c>
      <c r="N60" s="5">
        <f>13*1.1</f>
        <v>14.3</v>
      </c>
      <c r="Q60" s="25">
        <v>12</v>
      </c>
      <c r="T60" s="5">
        <v>19</v>
      </c>
      <c r="Z60" s="25">
        <v>17</v>
      </c>
      <c r="AC60" s="5">
        <f>11*1.1</f>
        <v>12.100000000000001</v>
      </c>
      <c r="AF60" s="25">
        <v>9</v>
      </c>
      <c r="AI60" s="29">
        <v>8</v>
      </c>
      <c r="AL60" s="25">
        <v>10</v>
      </c>
      <c r="AO60" s="25">
        <v>14</v>
      </c>
      <c r="AR60" s="25">
        <v>10</v>
      </c>
      <c r="AU60" s="25">
        <v>4</v>
      </c>
      <c r="AX60" s="25">
        <v>18</v>
      </c>
      <c r="BA60" s="25">
        <v>5</v>
      </c>
      <c r="BD60" s="25">
        <v>16</v>
      </c>
      <c r="BG60" s="25">
        <v>18</v>
      </c>
      <c r="BJ60" s="25">
        <v>17</v>
      </c>
      <c r="BM60" s="25">
        <v>18</v>
      </c>
      <c r="BP60" s="25">
        <v>14</v>
      </c>
      <c r="BT60" s="25">
        <f>15*0.8</f>
        <v>12</v>
      </c>
    </row>
    <row r="61" spans="1:72" ht="16.05" customHeight="1" x14ac:dyDescent="0.35">
      <c r="A61" s="40" t="s">
        <v>108</v>
      </c>
      <c r="B61" s="40">
        <v>71.099999999999994</v>
      </c>
      <c r="E61" s="40"/>
      <c r="F61" s="40"/>
      <c r="G61" s="39"/>
      <c r="H61" s="25">
        <v>10</v>
      </c>
      <c r="K61" s="25">
        <v>15</v>
      </c>
      <c r="N61" s="25">
        <v>12</v>
      </c>
      <c r="Q61" s="25">
        <v>20</v>
      </c>
      <c r="T61" s="5">
        <v>10</v>
      </c>
      <c r="Z61" s="25">
        <v>17</v>
      </c>
      <c r="AC61" s="25">
        <v>12</v>
      </c>
      <c r="AF61" s="25">
        <v>8</v>
      </c>
      <c r="AI61" s="25">
        <v>9</v>
      </c>
      <c r="AL61" s="25">
        <v>9</v>
      </c>
      <c r="AO61" s="25">
        <v>17</v>
      </c>
      <c r="AR61" s="25">
        <v>19</v>
      </c>
      <c r="AU61" s="25">
        <v>9</v>
      </c>
      <c r="AX61" s="25">
        <v>21</v>
      </c>
      <c r="BA61" s="25">
        <v>8</v>
      </c>
      <c r="BD61" s="25">
        <v>20</v>
      </c>
      <c r="BG61" s="25">
        <v>14</v>
      </c>
      <c r="BJ61" s="25">
        <v>12</v>
      </c>
      <c r="BM61" s="25">
        <v>20</v>
      </c>
      <c r="BP61" s="25">
        <v>13</v>
      </c>
      <c r="BT61" s="25">
        <v>19</v>
      </c>
    </row>
    <row r="62" spans="1:72" ht="16.05" customHeight="1" x14ac:dyDescent="0.35">
      <c r="A62" s="40"/>
      <c r="B62" s="38"/>
      <c r="C62" s="46"/>
      <c r="D62" s="46"/>
      <c r="E62" s="40"/>
      <c r="F62" s="40"/>
      <c r="H62" s="25">
        <f>20*0.8</f>
        <v>16</v>
      </c>
      <c r="K62" s="25">
        <v>18</v>
      </c>
      <c r="N62" s="25">
        <v>9</v>
      </c>
      <c r="Q62" s="25">
        <v>22</v>
      </c>
      <c r="T62" s="5">
        <f>12*0.8</f>
        <v>9.6000000000000014</v>
      </c>
      <c r="Z62" s="25">
        <v>13</v>
      </c>
      <c r="AC62" s="25">
        <v>13</v>
      </c>
      <c r="AF62" s="25">
        <v>14</v>
      </c>
      <c r="AI62" s="5">
        <f>8*18/14</f>
        <v>10.285714285714286</v>
      </c>
      <c r="AL62" s="25">
        <v>15</v>
      </c>
      <c r="AO62" s="25">
        <v>20</v>
      </c>
      <c r="AR62" s="25">
        <v>16</v>
      </c>
      <c r="AU62" s="25">
        <v>3</v>
      </c>
      <c r="AX62" s="25">
        <v>24</v>
      </c>
      <c r="BA62" s="25">
        <v>-1</v>
      </c>
      <c r="BD62" s="25">
        <v>20</v>
      </c>
      <c r="BG62" s="25">
        <v>16</v>
      </c>
      <c r="BJ62" s="25">
        <v>19</v>
      </c>
      <c r="BM62" s="25">
        <v>20</v>
      </c>
      <c r="BP62" s="25">
        <v>13</v>
      </c>
      <c r="BT62" s="25">
        <v>9</v>
      </c>
    </row>
    <row r="63" spans="1:72" ht="16.05" customHeight="1" x14ac:dyDescent="0.35">
      <c r="A63" s="40"/>
      <c r="B63" s="38"/>
      <c r="C63" s="46"/>
      <c r="D63" s="46"/>
      <c r="H63" s="25">
        <v>16</v>
      </c>
      <c r="K63" s="25">
        <v>12</v>
      </c>
      <c r="N63" s="25">
        <v>15</v>
      </c>
      <c r="Q63" s="25">
        <v>21</v>
      </c>
      <c r="T63" s="5">
        <v>12</v>
      </c>
      <c r="Z63" s="5">
        <f>16*1.1</f>
        <v>17.600000000000001</v>
      </c>
      <c r="AC63" s="25">
        <v>14</v>
      </c>
      <c r="AF63" s="25">
        <v>11</v>
      </c>
      <c r="AI63" s="25">
        <v>4</v>
      </c>
      <c r="AL63" s="25">
        <v>10</v>
      </c>
      <c r="AO63" s="25">
        <v>13</v>
      </c>
      <c r="AR63" s="25">
        <v>10</v>
      </c>
      <c r="AU63" s="47">
        <v>6</v>
      </c>
      <c r="AX63" s="5">
        <f>18*1.2</f>
        <v>21.599999999999998</v>
      </c>
      <c r="BA63" s="25">
        <v>11</v>
      </c>
      <c r="BD63" s="25">
        <v>22</v>
      </c>
      <c r="BG63" s="25">
        <v>12</v>
      </c>
      <c r="BJ63" s="25">
        <v>16</v>
      </c>
      <c r="BM63" s="25">
        <v>20</v>
      </c>
      <c r="BP63" s="25">
        <v>19</v>
      </c>
      <c r="BT63" s="25">
        <v>10</v>
      </c>
    </row>
    <row r="64" spans="1:72" ht="16.05" customHeight="1" x14ac:dyDescent="0.35">
      <c r="H64" s="5">
        <f>17*1.2</f>
        <v>20.399999999999999</v>
      </c>
      <c r="K64" s="25">
        <v>12</v>
      </c>
      <c r="N64" s="25">
        <v>15</v>
      </c>
      <c r="Q64" s="25">
        <f>20*1.1</f>
        <v>22</v>
      </c>
      <c r="T64" s="5">
        <f>14*0.8</f>
        <v>11.200000000000001</v>
      </c>
      <c r="Z64" s="25">
        <v>16</v>
      </c>
      <c r="AC64" s="25">
        <v>13</v>
      </c>
      <c r="AF64" s="25">
        <v>17</v>
      </c>
      <c r="AI64" s="25">
        <v>10</v>
      </c>
      <c r="AL64" s="25">
        <v>13</v>
      </c>
      <c r="AO64" s="25">
        <v>10</v>
      </c>
      <c r="AR64" s="25">
        <v>11</v>
      </c>
      <c r="AU64" s="25">
        <v>5</v>
      </c>
      <c r="AX64" s="25">
        <v>17</v>
      </c>
      <c r="BA64" s="25">
        <v>8</v>
      </c>
      <c r="BD64" s="25">
        <v>10</v>
      </c>
      <c r="BG64" s="25">
        <v>16</v>
      </c>
      <c r="BJ64" s="25">
        <v>12</v>
      </c>
      <c r="BM64" s="25">
        <v>16</v>
      </c>
      <c r="BP64" s="48">
        <f>8*18/15</f>
        <v>9.6</v>
      </c>
      <c r="BT64" s="25">
        <v>14</v>
      </c>
    </row>
    <row r="65" spans="1:72" ht="16.05" customHeight="1" x14ac:dyDescent="0.35">
      <c r="A65" s="38" t="s">
        <v>28</v>
      </c>
      <c r="H65" s="25">
        <v>17</v>
      </c>
      <c r="K65" s="5">
        <f>13*18/16</f>
        <v>14.625</v>
      </c>
      <c r="N65" s="25">
        <v>10</v>
      </c>
      <c r="Q65" s="25">
        <v>20</v>
      </c>
      <c r="T65" s="5">
        <f>15*18/17</f>
        <v>15.882352941176471</v>
      </c>
      <c r="Z65" s="25">
        <v>16</v>
      </c>
      <c r="AC65" s="25">
        <v>16</v>
      </c>
      <c r="AF65" s="5">
        <v>13</v>
      </c>
      <c r="AI65" s="25">
        <v>4</v>
      </c>
      <c r="AL65" s="25">
        <v>13</v>
      </c>
      <c r="AO65" s="25">
        <v>15</v>
      </c>
      <c r="AR65" s="25">
        <v>10</v>
      </c>
      <c r="AU65" s="25">
        <v>4</v>
      </c>
      <c r="AX65" s="25">
        <v>21</v>
      </c>
      <c r="BA65" s="25">
        <v>7</v>
      </c>
      <c r="BD65" s="25">
        <v>17</v>
      </c>
      <c r="BG65" s="25">
        <v>13</v>
      </c>
      <c r="BJ65" s="25">
        <v>11</v>
      </c>
      <c r="BM65" s="25">
        <v>16</v>
      </c>
      <c r="BP65" s="5">
        <f>9*18/14</f>
        <v>11.571428571428571</v>
      </c>
      <c r="BT65" s="5">
        <f>19*0.8</f>
        <v>15.200000000000001</v>
      </c>
    </row>
    <row r="66" spans="1:72" ht="16.05" customHeight="1" x14ac:dyDescent="0.35">
      <c r="A66" s="38" t="s">
        <v>29</v>
      </c>
      <c r="H66" s="25">
        <v>13</v>
      </c>
      <c r="K66" s="5">
        <f>11*18/16</f>
        <v>12.375</v>
      </c>
      <c r="N66" s="25">
        <v>20</v>
      </c>
      <c r="Q66" s="25">
        <v>18</v>
      </c>
      <c r="T66" s="5">
        <v>17</v>
      </c>
      <c r="Z66" s="5">
        <f>12*1.1</f>
        <v>13.200000000000001</v>
      </c>
      <c r="AC66" s="25">
        <v>15</v>
      </c>
      <c r="AF66" s="5">
        <v>14</v>
      </c>
      <c r="AI66" s="5">
        <f>9*1.1</f>
        <v>9.9</v>
      </c>
      <c r="AL66" s="25">
        <v>19</v>
      </c>
      <c r="AO66" s="25">
        <v>15</v>
      </c>
      <c r="AR66" s="25">
        <v>6</v>
      </c>
      <c r="AU66" s="25">
        <v>6</v>
      </c>
      <c r="AX66" s="25">
        <v>21</v>
      </c>
      <c r="BA66" s="25">
        <v>4</v>
      </c>
      <c r="BD66" s="25">
        <v>22</v>
      </c>
      <c r="BG66" s="25">
        <v>16</v>
      </c>
      <c r="BJ66" s="5">
        <f>4*18/14</f>
        <v>5.1428571428571432</v>
      </c>
      <c r="BM66" s="25">
        <v>16</v>
      </c>
      <c r="BP66" s="25">
        <v>11</v>
      </c>
      <c r="BT66" s="25">
        <v>13</v>
      </c>
    </row>
    <row r="67" spans="1:72" ht="16.05" customHeight="1" x14ac:dyDescent="0.35">
      <c r="A67" s="38" t="s">
        <v>30</v>
      </c>
      <c r="H67" s="25">
        <v>10</v>
      </c>
      <c r="K67" s="5">
        <f>14*18/17</f>
        <v>14.823529411764707</v>
      </c>
      <c r="N67" s="25">
        <v>13</v>
      </c>
      <c r="Q67" s="25">
        <v>14</v>
      </c>
      <c r="T67" s="5">
        <v>10</v>
      </c>
      <c r="Z67" s="25">
        <v>14</v>
      </c>
      <c r="AC67" s="25">
        <v>18</v>
      </c>
      <c r="AF67" s="5">
        <v>13</v>
      </c>
      <c r="AI67" s="25">
        <v>2</v>
      </c>
      <c r="AL67" s="47">
        <v>10</v>
      </c>
      <c r="AO67" s="25">
        <v>15</v>
      </c>
      <c r="AR67" s="25">
        <v>9</v>
      </c>
      <c r="AU67" s="25">
        <v>4</v>
      </c>
      <c r="AX67" s="25">
        <v>17</v>
      </c>
      <c r="BA67" s="25">
        <v>11</v>
      </c>
      <c r="BD67" s="25">
        <v>17</v>
      </c>
      <c r="BG67" s="25">
        <v>8</v>
      </c>
      <c r="BJ67" s="25">
        <v>17</v>
      </c>
      <c r="BM67" s="25">
        <v>16</v>
      </c>
      <c r="BP67" s="25">
        <v>8</v>
      </c>
      <c r="BT67" s="25">
        <v>17</v>
      </c>
    </row>
    <row r="68" spans="1:72" ht="16.05" customHeight="1" x14ac:dyDescent="0.35">
      <c r="A68" s="38" t="s">
        <v>31</v>
      </c>
      <c r="H68" s="25">
        <v>13</v>
      </c>
      <c r="K68" s="5">
        <f>8*18/17</f>
        <v>8.4705882352941178</v>
      </c>
      <c r="N68" s="25">
        <v>16</v>
      </c>
      <c r="Q68" s="25">
        <v>16</v>
      </c>
      <c r="T68" s="5">
        <v>16</v>
      </c>
      <c r="Z68" s="25">
        <v>5</v>
      </c>
      <c r="AC68" s="25">
        <v>22</v>
      </c>
      <c r="AF68" s="5">
        <v>11</v>
      </c>
      <c r="AI68" s="25">
        <v>6</v>
      </c>
      <c r="AL68" s="25">
        <v>7</v>
      </c>
      <c r="AO68" s="25">
        <v>14</v>
      </c>
      <c r="AR68" s="25">
        <v>10</v>
      </c>
      <c r="AU68" s="25">
        <v>2</v>
      </c>
      <c r="AX68" s="25">
        <v>20</v>
      </c>
      <c r="BA68" s="25">
        <v>5</v>
      </c>
      <c r="BD68" s="25">
        <v>20</v>
      </c>
      <c r="BG68" s="25">
        <v>19</v>
      </c>
      <c r="BJ68" s="5">
        <f>9*18/14</f>
        <v>11.571428571428571</v>
      </c>
      <c r="BM68" s="47">
        <v>18</v>
      </c>
      <c r="BP68" s="5">
        <f>15*18/14</f>
        <v>19.285714285714285</v>
      </c>
      <c r="BT68" s="25">
        <v>10</v>
      </c>
    </row>
    <row r="69" spans="1:72" ht="16.05" customHeight="1" x14ac:dyDescent="0.35">
      <c r="A69" s="38" t="s">
        <v>32</v>
      </c>
      <c r="H69" s="25">
        <v>12</v>
      </c>
      <c r="K69" s="25">
        <v>13</v>
      </c>
      <c r="N69" s="25">
        <v>10</v>
      </c>
      <c r="Q69" s="25">
        <v>23</v>
      </c>
      <c r="T69" s="5">
        <v>9</v>
      </c>
      <c r="Z69" s="25">
        <v>14</v>
      </c>
      <c r="AC69" s="5">
        <f>21*1.1</f>
        <v>23.1</v>
      </c>
      <c r="AF69" s="5">
        <v>11</v>
      </c>
      <c r="AI69" s="5">
        <f>9*1.1</f>
        <v>9.9</v>
      </c>
      <c r="AL69" s="25">
        <v>16</v>
      </c>
      <c r="AO69" s="25">
        <v>13</v>
      </c>
      <c r="AR69" s="25">
        <v>15</v>
      </c>
      <c r="AU69" s="25">
        <v>11</v>
      </c>
      <c r="AX69" s="25">
        <v>17</v>
      </c>
      <c r="BA69" s="25">
        <v>12</v>
      </c>
      <c r="BD69" s="25">
        <v>18</v>
      </c>
      <c r="BG69" s="25">
        <v>15</v>
      </c>
      <c r="BJ69" s="25">
        <f>17*18/17</f>
        <v>18</v>
      </c>
      <c r="BM69" s="25">
        <v>13</v>
      </c>
      <c r="BP69" s="25">
        <v>13</v>
      </c>
      <c r="BT69" s="25">
        <v>11</v>
      </c>
    </row>
    <row r="70" spans="1:72" ht="16.05" customHeight="1" x14ac:dyDescent="0.35">
      <c r="A70" s="38" t="s">
        <v>33</v>
      </c>
      <c r="H70" s="25">
        <v>19</v>
      </c>
      <c r="K70" s="25">
        <v>13</v>
      </c>
      <c r="N70" s="25">
        <v>13</v>
      </c>
      <c r="Q70" s="25">
        <v>15</v>
      </c>
      <c r="T70" s="5">
        <v>11</v>
      </c>
      <c r="Z70" s="25">
        <v>13</v>
      </c>
      <c r="AC70" s="25">
        <v>12</v>
      </c>
      <c r="AF70" s="5">
        <v>6</v>
      </c>
      <c r="AI70" s="25">
        <v>13</v>
      </c>
      <c r="AL70" s="25">
        <v>13</v>
      </c>
      <c r="AO70" s="25">
        <v>12</v>
      </c>
      <c r="AR70" s="47">
        <v>11</v>
      </c>
      <c r="AU70" s="25">
        <v>9</v>
      </c>
      <c r="AX70" s="25">
        <v>17</v>
      </c>
      <c r="BA70" s="1">
        <v>0</v>
      </c>
      <c r="BD70" s="25">
        <v>14</v>
      </c>
      <c r="BG70" s="25">
        <v>17</v>
      </c>
      <c r="BJ70" s="25">
        <v>8</v>
      </c>
      <c r="BM70" s="25">
        <v>15</v>
      </c>
      <c r="BP70" s="25">
        <v>10</v>
      </c>
      <c r="BT70" s="5">
        <f>18*0.9</f>
        <v>16.2</v>
      </c>
    </row>
    <row r="71" spans="1:72" ht="16.05" customHeight="1" x14ac:dyDescent="0.35">
      <c r="A71" s="38" t="s">
        <v>34</v>
      </c>
      <c r="H71" s="5">
        <f>18*1.1</f>
        <v>19.8</v>
      </c>
      <c r="K71" s="25">
        <v>9</v>
      </c>
      <c r="N71" s="25">
        <v>10</v>
      </c>
      <c r="Q71" s="25">
        <v>19</v>
      </c>
      <c r="T71" s="5">
        <f>12*0.8</f>
        <v>9.6000000000000014</v>
      </c>
      <c r="Z71" s="25">
        <v>16</v>
      </c>
      <c r="AC71" s="25">
        <v>14</v>
      </c>
      <c r="AF71" s="5">
        <v>16</v>
      </c>
      <c r="AI71" s="25">
        <v>6</v>
      </c>
      <c r="AL71" s="25">
        <v>16</v>
      </c>
      <c r="AO71" s="25">
        <v>16</v>
      </c>
      <c r="AR71" s="25">
        <v>6</v>
      </c>
      <c r="AU71" s="5">
        <f>11*1.2</f>
        <v>13.2</v>
      </c>
      <c r="AX71" s="25">
        <v>21</v>
      </c>
      <c r="BA71" s="25">
        <v>11</v>
      </c>
      <c r="BD71" s="25">
        <v>13</v>
      </c>
      <c r="BG71" s="25">
        <v>17</v>
      </c>
      <c r="BJ71" s="25">
        <v>11</v>
      </c>
      <c r="BM71" s="25">
        <v>13</v>
      </c>
      <c r="BP71" s="25">
        <v>17</v>
      </c>
      <c r="BT71" s="25">
        <v>15</v>
      </c>
    </row>
    <row r="72" spans="1:72" ht="16.05" customHeight="1" x14ac:dyDescent="0.35">
      <c r="A72" s="38" t="s">
        <v>35</v>
      </c>
      <c r="H72" s="25">
        <v>13</v>
      </c>
      <c r="K72" s="25">
        <v>14</v>
      </c>
      <c r="N72" s="47">
        <v>12</v>
      </c>
      <c r="Q72" s="25">
        <v>22</v>
      </c>
      <c r="T72" s="5">
        <v>7</v>
      </c>
      <c r="Z72" s="25">
        <v>10</v>
      </c>
      <c r="AC72" s="25">
        <v>20</v>
      </c>
      <c r="AF72" s="5">
        <v>14</v>
      </c>
      <c r="AI72" s="25">
        <v>8</v>
      </c>
      <c r="AL72" s="25">
        <v>12</v>
      </c>
      <c r="AO72" s="25">
        <v>18</v>
      </c>
      <c r="AR72" s="25">
        <v>7</v>
      </c>
      <c r="AU72" s="25">
        <v>9</v>
      </c>
      <c r="AX72" s="29">
        <v>22</v>
      </c>
      <c r="BA72" s="5">
        <f>0.142857142857143*18</f>
        <v>2.5714285714285738</v>
      </c>
      <c r="BD72" s="25">
        <v>16</v>
      </c>
      <c r="BG72" s="25">
        <v>11</v>
      </c>
      <c r="BJ72" s="25">
        <v>13</v>
      </c>
      <c r="BM72" s="25">
        <v>12</v>
      </c>
      <c r="BP72" s="25">
        <v>18</v>
      </c>
      <c r="BT72" s="5">
        <f>13*1.1</f>
        <v>14.3</v>
      </c>
    </row>
    <row r="73" spans="1:72" ht="16.05" customHeight="1" x14ac:dyDescent="0.35">
      <c r="A73" s="38" t="s">
        <v>36</v>
      </c>
      <c r="H73" s="25">
        <v>15</v>
      </c>
      <c r="K73" s="25">
        <v>15</v>
      </c>
      <c r="N73" s="25">
        <v>7</v>
      </c>
      <c r="Q73" s="25">
        <v>22</v>
      </c>
      <c r="T73" s="5">
        <f>14*0.8</f>
        <v>11.200000000000001</v>
      </c>
      <c r="Z73" s="25">
        <v>14</v>
      </c>
      <c r="AC73" s="5">
        <v>17</v>
      </c>
      <c r="AF73" s="5">
        <v>14</v>
      </c>
      <c r="AI73" s="25">
        <v>5</v>
      </c>
      <c r="AL73" s="25">
        <v>14</v>
      </c>
      <c r="AO73" s="25">
        <v>12</v>
      </c>
      <c r="AR73" s="25">
        <v>11</v>
      </c>
      <c r="AU73" s="25">
        <v>5</v>
      </c>
      <c r="AX73" s="29">
        <v>20</v>
      </c>
      <c r="BA73" s="25">
        <v>12</v>
      </c>
      <c r="BD73" s="25">
        <v>22</v>
      </c>
      <c r="BG73" s="25">
        <v>16</v>
      </c>
      <c r="BJ73" s="25">
        <v>9</v>
      </c>
      <c r="BM73" s="25">
        <v>15</v>
      </c>
      <c r="BP73" s="25">
        <v>16</v>
      </c>
      <c r="BT73" s="25">
        <v>16</v>
      </c>
    </row>
    <row r="74" spans="1:72" ht="16.05" customHeight="1" x14ac:dyDescent="0.35">
      <c r="A74" s="38" t="s">
        <v>37</v>
      </c>
      <c r="H74" s="25">
        <v>15</v>
      </c>
      <c r="K74" s="29">
        <v>11</v>
      </c>
      <c r="N74" s="25">
        <v>13</v>
      </c>
      <c r="Q74" s="25">
        <v>22</v>
      </c>
      <c r="T74" s="5">
        <v>16</v>
      </c>
      <c r="Z74" s="25">
        <v>7</v>
      </c>
      <c r="AC74" s="5">
        <f>18*0.8</f>
        <v>14.4</v>
      </c>
      <c r="AF74" s="5">
        <v>17</v>
      </c>
      <c r="AI74" s="25">
        <v>9</v>
      </c>
      <c r="AL74" s="25">
        <v>12</v>
      </c>
      <c r="AO74" s="25">
        <v>14</v>
      </c>
      <c r="AR74" s="25">
        <v>9</v>
      </c>
      <c r="AU74" s="25">
        <v>9</v>
      </c>
      <c r="AX74" s="25">
        <v>24</v>
      </c>
      <c r="BA74" s="25">
        <v>8</v>
      </c>
      <c r="BD74" s="25">
        <v>14</v>
      </c>
      <c r="BG74" s="25">
        <v>19</v>
      </c>
      <c r="BJ74" s="25">
        <v>10</v>
      </c>
      <c r="BM74" s="25">
        <v>13</v>
      </c>
      <c r="BP74" s="25">
        <v>17</v>
      </c>
      <c r="BT74" s="25">
        <v>14</v>
      </c>
    </row>
    <row r="75" spans="1:72" ht="16.05" customHeight="1" x14ac:dyDescent="0.35">
      <c r="A75" s="38" t="s">
        <v>43</v>
      </c>
      <c r="H75" s="25">
        <v>21</v>
      </c>
      <c r="K75" s="29">
        <v>11</v>
      </c>
      <c r="N75" s="25">
        <v>13</v>
      </c>
      <c r="Q75" s="25">
        <v>15</v>
      </c>
      <c r="T75" s="5">
        <v>24</v>
      </c>
      <c r="Z75" s="25">
        <v>10</v>
      </c>
      <c r="AC75" s="5">
        <v>14</v>
      </c>
      <c r="AF75" s="5">
        <v>13</v>
      </c>
      <c r="AI75" s="25">
        <v>12</v>
      </c>
      <c r="AL75" s="25">
        <v>8</v>
      </c>
      <c r="AO75" s="5">
        <v>7</v>
      </c>
      <c r="AR75" s="25">
        <v>13</v>
      </c>
      <c r="AU75" s="25">
        <v>7</v>
      </c>
      <c r="AX75" s="25">
        <v>18</v>
      </c>
      <c r="BA75" s="25">
        <v>8</v>
      </c>
      <c r="BD75" s="25">
        <v>10</v>
      </c>
      <c r="BG75" s="25">
        <v>11</v>
      </c>
      <c r="BJ75" s="5">
        <f>13*1.2</f>
        <v>15.6</v>
      </c>
      <c r="BM75" s="25">
        <v>19</v>
      </c>
      <c r="BP75" s="25">
        <v>13</v>
      </c>
      <c r="BT75" s="25">
        <v>14</v>
      </c>
    </row>
    <row r="76" spans="1:72" ht="16.05" customHeight="1" x14ac:dyDescent="0.35">
      <c r="A76" s="38" t="s">
        <v>44</v>
      </c>
      <c r="H76" s="25">
        <v>18</v>
      </c>
      <c r="K76" s="25">
        <v>11</v>
      </c>
      <c r="N76" s="25">
        <v>12</v>
      </c>
      <c r="Q76" s="25">
        <v>20</v>
      </c>
      <c r="T76" s="5">
        <v>13</v>
      </c>
      <c r="Z76" s="25">
        <v>14</v>
      </c>
      <c r="AC76" s="5">
        <v>11</v>
      </c>
      <c r="AF76" s="5">
        <v>16</v>
      </c>
      <c r="AI76" s="25">
        <v>13</v>
      </c>
      <c r="AL76" s="25">
        <v>15</v>
      </c>
      <c r="AO76" s="5">
        <f>12*18/15</f>
        <v>14.4</v>
      </c>
      <c r="AR76" s="25">
        <v>10</v>
      </c>
      <c r="AU76" s="25">
        <v>5</v>
      </c>
      <c r="AX76" s="25">
        <v>21</v>
      </c>
      <c r="BA76" s="25">
        <v>7</v>
      </c>
      <c r="BD76" s="25">
        <v>16</v>
      </c>
      <c r="BG76" s="25">
        <v>16</v>
      </c>
      <c r="BJ76" s="5">
        <f>(15*18/17)</f>
        <v>15.882352941176471</v>
      </c>
      <c r="BM76" s="25">
        <v>19</v>
      </c>
      <c r="BP76" s="5">
        <f>27*0.8</f>
        <v>21.6</v>
      </c>
      <c r="BT76" s="25">
        <v>17</v>
      </c>
    </row>
    <row r="77" spans="1:72" ht="16.05" customHeight="1" x14ac:dyDescent="0.35">
      <c r="A77" s="38" t="s">
        <v>48</v>
      </c>
      <c r="H77" s="25">
        <v>13</v>
      </c>
      <c r="K77" s="25">
        <v>10</v>
      </c>
      <c r="N77" s="25">
        <v>16</v>
      </c>
      <c r="Q77" s="47">
        <v>22</v>
      </c>
      <c r="T77" s="5">
        <v>17</v>
      </c>
      <c r="Z77" s="25">
        <v>9</v>
      </c>
      <c r="AC77" s="5">
        <v>14</v>
      </c>
      <c r="AF77" s="5">
        <v>13</v>
      </c>
      <c r="AI77" s="25">
        <v>12</v>
      </c>
      <c r="AL77" s="25">
        <v>10</v>
      </c>
      <c r="AO77" s="25">
        <v>14</v>
      </c>
      <c r="AR77" s="25">
        <v>11</v>
      </c>
      <c r="AU77" s="25">
        <v>8</v>
      </c>
      <c r="AX77" s="25">
        <v>21</v>
      </c>
      <c r="BA77" s="25">
        <v>11</v>
      </c>
      <c r="BD77" s="25">
        <v>10</v>
      </c>
      <c r="BG77" s="25">
        <f>10*1.2</f>
        <v>12</v>
      </c>
      <c r="BJ77" s="25">
        <v>14</v>
      </c>
      <c r="BM77" s="5">
        <f>17*1.1</f>
        <v>18.700000000000003</v>
      </c>
      <c r="BP77" s="5">
        <f>11*1.1</f>
        <v>12.100000000000001</v>
      </c>
      <c r="BT77" s="5">
        <f>11*1.2</f>
        <v>13.2</v>
      </c>
    </row>
    <row r="78" spans="1:72" ht="16.05" customHeight="1" x14ac:dyDescent="0.35">
      <c r="A78" s="31" t="s">
        <v>52</v>
      </c>
      <c r="H78" s="25">
        <v>18</v>
      </c>
      <c r="K78" s="25">
        <v>6</v>
      </c>
      <c r="N78" s="25">
        <v>11</v>
      </c>
      <c r="Q78" s="25">
        <v>16</v>
      </c>
      <c r="T78" s="5">
        <v>13</v>
      </c>
      <c r="Z78" s="25">
        <v>8</v>
      </c>
      <c r="AC78" s="5">
        <v>9</v>
      </c>
      <c r="AF78" s="5">
        <v>8</v>
      </c>
      <c r="AI78" s="25">
        <v>14</v>
      </c>
      <c r="AL78" s="25">
        <v>13</v>
      </c>
      <c r="AO78" s="5">
        <f>9*18/15</f>
        <v>10.8</v>
      </c>
      <c r="AR78" s="25">
        <v>10</v>
      </c>
      <c r="AU78" s="25">
        <v>10</v>
      </c>
      <c r="AX78" s="5">
        <f>14*1.2</f>
        <v>16.8</v>
      </c>
      <c r="BA78" s="25">
        <v>8</v>
      </c>
      <c r="BD78" s="48">
        <f>10*18/14</f>
        <v>12.857142857142858</v>
      </c>
      <c r="BG78" s="5">
        <f>9*0.8</f>
        <v>7.2</v>
      </c>
      <c r="BJ78" s="25">
        <v>16</v>
      </c>
      <c r="BM78" s="25">
        <f>15*0.8</f>
        <v>12</v>
      </c>
      <c r="BP78" s="5">
        <f>13*1.1</f>
        <v>14.3</v>
      </c>
      <c r="BT78" s="25">
        <v>17</v>
      </c>
    </row>
    <row r="79" spans="1:72" ht="16.05" customHeight="1" x14ac:dyDescent="0.35">
      <c r="A79" s="38" t="s">
        <v>53</v>
      </c>
      <c r="H79" s="25">
        <v>18</v>
      </c>
      <c r="K79" s="25">
        <v>17</v>
      </c>
      <c r="N79" s="25">
        <v>13</v>
      </c>
      <c r="Q79" s="25">
        <v>16</v>
      </c>
      <c r="Z79" s="25">
        <v>18</v>
      </c>
      <c r="AC79" s="5">
        <v>14</v>
      </c>
      <c r="AF79" s="5">
        <v>10</v>
      </c>
      <c r="AI79" s="5">
        <f>13*1.3</f>
        <v>16.900000000000002</v>
      </c>
      <c r="AL79" s="25">
        <v>13</v>
      </c>
      <c r="AO79" s="25">
        <v>14</v>
      </c>
      <c r="AR79" s="25">
        <v>14</v>
      </c>
      <c r="AU79" s="25">
        <v>9</v>
      </c>
      <c r="AX79" s="5">
        <f>15*1.2</f>
        <v>18</v>
      </c>
      <c r="BA79" s="47">
        <v>15</v>
      </c>
      <c r="BD79" s="5">
        <f>12*18/14</f>
        <v>15.428571428571429</v>
      </c>
      <c r="BG79" s="25">
        <v>15</v>
      </c>
      <c r="BJ79" s="25">
        <v>19</v>
      </c>
      <c r="BM79" s="5">
        <f>17*1.1</f>
        <v>18.700000000000003</v>
      </c>
      <c r="BP79" s="25">
        <f>20*0.8</f>
        <v>16</v>
      </c>
      <c r="BT79" s="25">
        <v>11</v>
      </c>
    </row>
    <row r="80" spans="1:72" ht="16.05" customHeight="1" x14ac:dyDescent="0.35">
      <c r="A80" s="31" t="s">
        <v>54</v>
      </c>
      <c r="H80" s="25">
        <v>12</v>
      </c>
      <c r="K80" s="5">
        <f>11*18/14</f>
        <v>14.142857142857142</v>
      </c>
      <c r="N80" s="25">
        <v>15</v>
      </c>
      <c r="Q80" s="25">
        <v>8</v>
      </c>
      <c r="Z80" s="25">
        <v>14</v>
      </c>
      <c r="AC80" s="5">
        <f>11*1.1</f>
        <v>12.100000000000001</v>
      </c>
      <c r="AF80" s="5">
        <v>17</v>
      </c>
      <c r="AI80" s="25">
        <v>11</v>
      </c>
      <c r="AL80" s="25">
        <v>5</v>
      </c>
      <c r="AO80" s="5">
        <f>12*18/17</f>
        <v>12.705882352941176</v>
      </c>
      <c r="AR80" s="25">
        <v>10</v>
      </c>
      <c r="AU80" s="25">
        <v>11</v>
      </c>
      <c r="AX80" s="25">
        <v>14</v>
      </c>
      <c r="BA80" s="5">
        <f>13*0.8</f>
        <v>10.4</v>
      </c>
      <c r="BD80" s="5">
        <f>11*18/14</f>
        <v>14.142857142857142</v>
      </c>
      <c r="BG80" s="5">
        <f>10*18/14</f>
        <v>12.857142857142858</v>
      </c>
      <c r="BJ80" s="25">
        <v>11</v>
      </c>
      <c r="BM80" s="5">
        <f>13*1.1</f>
        <v>14.3</v>
      </c>
      <c r="BP80" s="5">
        <f>19*0.8</f>
        <v>15.200000000000001</v>
      </c>
      <c r="BT80" s="25">
        <v>24</v>
      </c>
    </row>
    <row r="81" spans="1:72" ht="16.05" customHeight="1" x14ac:dyDescent="0.35">
      <c r="A81" s="38" t="s">
        <v>55</v>
      </c>
      <c r="H81" s="25">
        <v>17</v>
      </c>
      <c r="K81" s="25">
        <v>10</v>
      </c>
      <c r="N81" s="25">
        <v>19</v>
      </c>
      <c r="Q81" s="25">
        <v>12</v>
      </c>
      <c r="Z81" s="25">
        <v>14</v>
      </c>
      <c r="AC81" s="5">
        <v>17</v>
      </c>
      <c r="AF81" s="5">
        <v>10</v>
      </c>
      <c r="AI81" s="5">
        <f>8*18/14</f>
        <v>10.285714285714286</v>
      </c>
      <c r="AL81" s="25">
        <v>5</v>
      </c>
      <c r="AO81" s="25">
        <v>17</v>
      </c>
      <c r="AR81" s="5">
        <f>13*1.2</f>
        <v>15.6</v>
      </c>
      <c r="AU81" s="25">
        <v>9</v>
      </c>
      <c r="AX81" s="25">
        <v>17</v>
      </c>
      <c r="BA81" s="25">
        <v>6</v>
      </c>
      <c r="BD81" s="25">
        <v>12</v>
      </c>
      <c r="BG81" s="5">
        <v>10</v>
      </c>
      <c r="BJ81" s="25">
        <v>5</v>
      </c>
      <c r="BM81" s="5">
        <f>16*1.1</f>
        <v>17.600000000000001</v>
      </c>
      <c r="BP81" s="25">
        <v>7</v>
      </c>
      <c r="BT81" s="5">
        <f>13*1.2</f>
        <v>15.6</v>
      </c>
    </row>
    <row r="82" spans="1:72" ht="16.05" customHeight="1" x14ac:dyDescent="0.35">
      <c r="A82" s="31" t="s">
        <v>56</v>
      </c>
      <c r="H82" s="25">
        <v>21</v>
      </c>
      <c r="K82" s="25">
        <v>17</v>
      </c>
      <c r="N82" s="25">
        <v>10</v>
      </c>
      <c r="Q82" s="25">
        <v>17</v>
      </c>
      <c r="Z82" s="25">
        <v>13</v>
      </c>
      <c r="AC82" s="5">
        <v>16</v>
      </c>
      <c r="AF82" s="5">
        <v>5</v>
      </c>
      <c r="AI82" s="5">
        <f>9*1.1</f>
        <v>9.9</v>
      </c>
      <c r="AL82" s="25">
        <v>7</v>
      </c>
      <c r="AO82" s="25">
        <v>15</v>
      </c>
      <c r="AR82" s="25">
        <v>12</v>
      </c>
      <c r="AU82" s="25">
        <v>11</v>
      </c>
      <c r="AX82" s="25">
        <v>19</v>
      </c>
      <c r="BA82" s="25">
        <v>9</v>
      </c>
      <c r="BD82" s="5">
        <f>10*18/14</f>
        <v>12.857142857142858</v>
      </c>
      <c r="BG82" s="5">
        <v>13</v>
      </c>
      <c r="BJ82" s="25">
        <v>7</v>
      </c>
      <c r="BM82" s="5">
        <f>19*0.8</f>
        <v>15.200000000000001</v>
      </c>
      <c r="BP82" s="25">
        <v>17</v>
      </c>
      <c r="BT82" s="5">
        <f>14*1.2</f>
        <v>16.8</v>
      </c>
    </row>
    <row r="83" spans="1:72" ht="16.05" customHeight="1" x14ac:dyDescent="0.35">
      <c r="A83" s="31" t="s">
        <v>57</v>
      </c>
      <c r="H83" s="25">
        <v>10</v>
      </c>
      <c r="K83" s="25">
        <v>18</v>
      </c>
      <c r="N83" s="25">
        <v>17</v>
      </c>
      <c r="Q83" s="25">
        <v>14</v>
      </c>
      <c r="Z83" s="25">
        <v>16</v>
      </c>
      <c r="AC83" s="5">
        <v>15</v>
      </c>
      <c r="AF83" s="5">
        <v>7</v>
      </c>
      <c r="AI83" s="25">
        <v>8</v>
      </c>
      <c r="AL83" s="5">
        <f>14*0.8</f>
        <v>11.200000000000001</v>
      </c>
      <c r="AO83" s="25">
        <v>6</v>
      </c>
      <c r="AR83" s="25">
        <v>8</v>
      </c>
      <c r="AU83" s="25">
        <v>7</v>
      </c>
      <c r="AX83" s="25">
        <v>19</v>
      </c>
      <c r="BA83" s="25">
        <v>8</v>
      </c>
      <c r="BD83" s="5">
        <f>12*18/14</f>
        <v>15.428571428571429</v>
      </c>
      <c r="BG83" s="5">
        <v>7</v>
      </c>
      <c r="BJ83" s="5">
        <f>13*18/16</f>
        <v>14.625</v>
      </c>
      <c r="BM83" s="25">
        <v>17</v>
      </c>
      <c r="BP83" s="25">
        <v>15</v>
      </c>
      <c r="BT83" s="25">
        <v>13</v>
      </c>
    </row>
    <row r="84" spans="1:72" ht="16.05" customHeight="1" x14ac:dyDescent="0.35">
      <c r="A84" s="31" t="s">
        <v>58</v>
      </c>
      <c r="H84" s="25">
        <v>22</v>
      </c>
      <c r="K84" s="25">
        <v>17</v>
      </c>
      <c r="N84" s="25">
        <v>14</v>
      </c>
      <c r="Q84" s="25">
        <v>18</v>
      </c>
      <c r="Z84" s="25">
        <v>12</v>
      </c>
      <c r="AC84" s="5">
        <v>16</v>
      </c>
      <c r="AF84" s="5">
        <v>24</v>
      </c>
      <c r="AI84" s="25">
        <v>9</v>
      </c>
      <c r="AL84" s="25">
        <v>12</v>
      </c>
      <c r="AO84" s="25">
        <v>24</v>
      </c>
      <c r="AR84" s="25">
        <v>7</v>
      </c>
      <c r="AU84" s="25">
        <v>10</v>
      </c>
      <c r="AX84" s="25">
        <v>18</v>
      </c>
      <c r="BA84" s="25">
        <v>13</v>
      </c>
      <c r="BD84" s="5">
        <f>10*18/14</f>
        <v>12.857142857142858</v>
      </c>
      <c r="BG84" s="5">
        <v>11</v>
      </c>
      <c r="BJ84" s="25">
        <v>13</v>
      </c>
      <c r="BM84" s="25">
        <v>9</v>
      </c>
      <c r="BP84" s="25">
        <v>22</v>
      </c>
      <c r="BT84" s="25">
        <v>13</v>
      </c>
    </row>
    <row r="85" spans="1:72" ht="16.05" customHeight="1" x14ac:dyDescent="0.35">
      <c r="A85" s="31" t="s">
        <v>59</v>
      </c>
      <c r="H85" s="5">
        <f>12*18/14</f>
        <v>15.428571428571429</v>
      </c>
      <c r="K85" s="25">
        <v>11</v>
      </c>
      <c r="N85" s="25">
        <v>16</v>
      </c>
      <c r="Q85" s="25">
        <v>12</v>
      </c>
      <c r="Z85" s="25">
        <v>11</v>
      </c>
      <c r="AC85" s="5">
        <v>19</v>
      </c>
      <c r="AI85" s="25">
        <v>12</v>
      </c>
      <c r="AL85" s="25">
        <v>14</v>
      </c>
      <c r="AO85" s="25">
        <v>22</v>
      </c>
      <c r="AR85" s="25">
        <v>8</v>
      </c>
      <c r="AU85" s="25">
        <v>13</v>
      </c>
      <c r="AX85" s="5">
        <f>15*18/14</f>
        <v>19.285714285714285</v>
      </c>
      <c r="BA85" s="25">
        <v>7</v>
      </c>
      <c r="BD85" s="25">
        <v>18</v>
      </c>
      <c r="BG85" s="5">
        <v>17</v>
      </c>
      <c r="BJ85" s="25">
        <v>15</v>
      </c>
      <c r="BM85" s="25">
        <v>16</v>
      </c>
      <c r="BP85" s="25">
        <v>17</v>
      </c>
      <c r="BT85" s="25">
        <v>17</v>
      </c>
    </row>
    <row r="86" spans="1:72" ht="16.05" customHeight="1" x14ac:dyDescent="0.35">
      <c r="A86" s="31" t="s">
        <v>60</v>
      </c>
      <c r="H86" s="5">
        <f>14*1.1</f>
        <v>15.400000000000002</v>
      </c>
      <c r="K86" s="25">
        <v>7</v>
      </c>
      <c r="N86" s="25">
        <v>18</v>
      </c>
      <c r="Q86" s="25">
        <v>20</v>
      </c>
      <c r="Z86" s="25">
        <v>9</v>
      </c>
      <c r="AC86" s="5">
        <v>7</v>
      </c>
      <c r="AI86" s="25">
        <v>13</v>
      </c>
      <c r="AL86" s="25">
        <v>13</v>
      </c>
      <c r="AO86" s="25">
        <v>19</v>
      </c>
      <c r="AR86" s="25">
        <v>10</v>
      </c>
      <c r="AU86" s="25">
        <v>9</v>
      </c>
      <c r="AX86" s="5">
        <v>21</v>
      </c>
      <c r="BA86" s="25">
        <v>7</v>
      </c>
      <c r="BD86" s="25">
        <v>19</v>
      </c>
      <c r="BG86" s="5">
        <v>10</v>
      </c>
      <c r="BJ86" s="25">
        <v>18</v>
      </c>
      <c r="BM86" s="25">
        <v>15</v>
      </c>
      <c r="BP86" s="25">
        <v>18</v>
      </c>
      <c r="BT86" s="25">
        <v>18</v>
      </c>
    </row>
    <row r="87" spans="1:72" ht="16.05" customHeight="1" x14ac:dyDescent="0.35">
      <c r="A87" s="31" t="s">
        <v>66</v>
      </c>
      <c r="H87" s="25">
        <v>11</v>
      </c>
      <c r="K87" s="25">
        <v>13</v>
      </c>
      <c r="N87" s="25">
        <v>17</v>
      </c>
      <c r="Q87" s="5">
        <f>18*18/16</f>
        <v>20.25</v>
      </c>
      <c r="Z87" s="25">
        <v>17</v>
      </c>
      <c r="AC87" s="5">
        <v>18</v>
      </c>
      <c r="AI87" s="25">
        <v>11</v>
      </c>
      <c r="AL87" s="25">
        <v>14</v>
      </c>
      <c r="AO87" s="25">
        <v>20</v>
      </c>
      <c r="AR87" s="25">
        <v>12</v>
      </c>
      <c r="AU87" s="25">
        <v>9</v>
      </c>
      <c r="AX87" s="5">
        <v>10</v>
      </c>
      <c r="BA87" s="25">
        <v>-1</v>
      </c>
      <c r="BD87" s="25">
        <v>21</v>
      </c>
      <c r="BG87" s="5">
        <v>11</v>
      </c>
      <c r="BJ87" s="25">
        <v>10</v>
      </c>
      <c r="BM87" s="25">
        <v>14</v>
      </c>
      <c r="BP87" s="5">
        <f>12*18/17</f>
        <v>12.705882352941176</v>
      </c>
      <c r="BT87" s="25">
        <v>15</v>
      </c>
    </row>
    <row r="88" spans="1:72" ht="16.05" customHeight="1" x14ac:dyDescent="0.35">
      <c r="A88" s="31" t="s">
        <v>65</v>
      </c>
      <c r="H88" s="5">
        <f>12*1.2</f>
        <v>14.399999999999999</v>
      </c>
      <c r="K88" s="25">
        <v>14</v>
      </c>
      <c r="N88" s="25">
        <v>13</v>
      </c>
      <c r="Q88" s="5">
        <f>19*1.1</f>
        <v>20.900000000000002</v>
      </c>
      <c r="Z88" s="25">
        <v>11</v>
      </c>
      <c r="AC88" s="5">
        <v>11</v>
      </c>
      <c r="AI88" s="25">
        <v>11</v>
      </c>
      <c r="AL88" s="25">
        <v>7</v>
      </c>
      <c r="AO88" s="25">
        <v>13</v>
      </c>
      <c r="AR88" s="25">
        <v>8</v>
      </c>
      <c r="AU88" s="25">
        <v>7</v>
      </c>
      <c r="AX88" s="5">
        <f>20*18/17</f>
        <v>21.176470588235293</v>
      </c>
      <c r="BA88" s="25">
        <v>8</v>
      </c>
      <c r="BD88" s="5">
        <f>16*1.1</f>
        <v>17.600000000000001</v>
      </c>
      <c r="BG88" s="5">
        <v>20</v>
      </c>
      <c r="BJ88" s="25">
        <v>11</v>
      </c>
      <c r="BM88" s="5">
        <f>28*0.8</f>
        <v>22.400000000000002</v>
      </c>
      <c r="BP88" s="25">
        <v>18</v>
      </c>
      <c r="BT88" s="25">
        <v>9</v>
      </c>
    </row>
    <row r="89" spans="1:72" ht="16.05" customHeight="1" x14ac:dyDescent="0.35">
      <c r="A89" s="31" t="s">
        <v>64</v>
      </c>
      <c r="H89" s="5">
        <f>12*1.2</f>
        <v>14.399999999999999</v>
      </c>
      <c r="K89" s="25">
        <v>14</v>
      </c>
      <c r="N89" s="25">
        <v>16</v>
      </c>
      <c r="Q89" s="5">
        <f>14*1.1</f>
        <v>15.400000000000002</v>
      </c>
      <c r="Z89" s="47">
        <v>10</v>
      </c>
      <c r="AC89" s="5">
        <v>12</v>
      </c>
      <c r="AI89" s="25">
        <v>13</v>
      </c>
      <c r="AL89" s="25">
        <v>11</v>
      </c>
      <c r="AO89" s="25">
        <v>18</v>
      </c>
      <c r="AR89" s="25">
        <v>13</v>
      </c>
      <c r="AU89" s="25">
        <v>5</v>
      </c>
      <c r="AX89" s="5">
        <f>13*18/14</f>
        <v>16.714285714285715</v>
      </c>
      <c r="BA89" s="25">
        <v>8</v>
      </c>
      <c r="BD89" s="5">
        <f>16*1.1</f>
        <v>17.600000000000001</v>
      </c>
      <c r="BG89" s="5">
        <v>19</v>
      </c>
      <c r="BJ89" s="25">
        <v>13</v>
      </c>
      <c r="BM89" s="25">
        <v>24</v>
      </c>
      <c r="BP89" s="25">
        <v>16</v>
      </c>
      <c r="BT89" s="25">
        <v>14</v>
      </c>
    </row>
    <row r="90" spans="1:72" ht="16.05" customHeight="1" x14ac:dyDescent="0.35">
      <c r="A90" s="31" t="s">
        <v>61</v>
      </c>
      <c r="H90" s="5">
        <f>15*1.2</f>
        <v>18</v>
      </c>
      <c r="K90" s="25">
        <v>9</v>
      </c>
      <c r="N90" s="25">
        <v>12</v>
      </c>
      <c r="Q90" s="5">
        <f>27*0.8</f>
        <v>21.6</v>
      </c>
      <c r="Z90" s="25">
        <v>9</v>
      </c>
      <c r="AC90" s="5">
        <v>12</v>
      </c>
      <c r="AI90" s="25">
        <v>8</v>
      </c>
      <c r="AL90" s="25">
        <v>19</v>
      </c>
      <c r="AO90" s="25">
        <v>16</v>
      </c>
      <c r="AR90" s="25">
        <v>13</v>
      </c>
      <c r="AU90" s="5">
        <f>3*18/16</f>
        <v>3.375</v>
      </c>
      <c r="AX90" s="5">
        <v>13</v>
      </c>
      <c r="BA90" s="25">
        <v>12</v>
      </c>
      <c r="BD90" s="5">
        <f>12*1.1</f>
        <v>13.200000000000001</v>
      </c>
      <c r="BG90" s="5">
        <v>10</v>
      </c>
      <c r="BJ90" s="25">
        <v>8</v>
      </c>
      <c r="BM90" s="5">
        <f>12*1.1</f>
        <v>13.200000000000001</v>
      </c>
      <c r="BP90" s="25">
        <v>18</v>
      </c>
      <c r="BT90" s="25">
        <v>12</v>
      </c>
    </row>
    <row r="91" spans="1:72" ht="16.05" customHeight="1" x14ac:dyDescent="0.35">
      <c r="A91" s="31" t="s">
        <v>97</v>
      </c>
      <c r="H91" s="25">
        <v>16</v>
      </c>
      <c r="K91" s="5">
        <f>17*0.8</f>
        <v>13.600000000000001</v>
      </c>
      <c r="N91" s="25">
        <v>12</v>
      </c>
      <c r="Q91" s="25">
        <v>14</v>
      </c>
      <c r="Z91" s="25">
        <v>9</v>
      </c>
      <c r="AC91" s="5">
        <v>15</v>
      </c>
      <c r="AI91" s="25">
        <v>5</v>
      </c>
      <c r="AL91" s="25">
        <v>5</v>
      </c>
      <c r="AO91" s="25">
        <v>14</v>
      </c>
      <c r="AR91" s="25">
        <v>10</v>
      </c>
      <c r="AU91" s="5">
        <f>3*18/16</f>
        <v>3.375</v>
      </c>
      <c r="AX91" s="5">
        <v>14</v>
      </c>
      <c r="BA91" s="25">
        <v>13</v>
      </c>
      <c r="BD91" s="5">
        <f>15*1.1</f>
        <v>16.5</v>
      </c>
      <c r="BG91" s="5">
        <v>15</v>
      </c>
      <c r="BJ91" s="25">
        <v>12</v>
      </c>
      <c r="BM91" s="25">
        <v>18</v>
      </c>
      <c r="BP91" s="25">
        <v>14</v>
      </c>
      <c r="BT91" s="29">
        <v>14</v>
      </c>
    </row>
    <row r="92" spans="1:72" ht="16.05" customHeight="1" x14ac:dyDescent="0.35">
      <c r="A92" s="31" t="s">
        <v>98</v>
      </c>
      <c r="H92" s="25">
        <v>22</v>
      </c>
      <c r="K92" s="25">
        <v>13</v>
      </c>
      <c r="N92" s="5">
        <f>12*1.2</f>
        <v>14.399999999999999</v>
      </c>
      <c r="Q92" s="25">
        <v>13</v>
      </c>
      <c r="Z92" s="25">
        <v>11</v>
      </c>
      <c r="AC92" s="5">
        <v>19</v>
      </c>
      <c r="AI92" s="25">
        <v>9</v>
      </c>
      <c r="AL92" s="25">
        <v>5</v>
      </c>
      <c r="AO92" s="25">
        <v>19</v>
      </c>
      <c r="AR92" s="25">
        <v>10</v>
      </c>
      <c r="AU92" s="25">
        <v>10</v>
      </c>
      <c r="AX92" s="5">
        <v>19</v>
      </c>
      <c r="BA92" s="25">
        <v>4</v>
      </c>
      <c r="BD92" s="25">
        <v>18</v>
      </c>
      <c r="BG92" s="5">
        <v>11</v>
      </c>
      <c r="BJ92" s="25">
        <v>17</v>
      </c>
      <c r="BM92" s="25">
        <v>20</v>
      </c>
      <c r="BP92" s="5">
        <f>18*0.8</f>
        <v>14.4</v>
      </c>
      <c r="BT92" s="29">
        <v>10</v>
      </c>
    </row>
    <row r="93" spans="1:72" ht="16.05" customHeight="1" x14ac:dyDescent="0.35">
      <c r="A93" s="31" t="s">
        <v>68</v>
      </c>
      <c r="H93" s="25">
        <v>17</v>
      </c>
      <c r="K93" s="25">
        <v>18</v>
      </c>
      <c r="N93" s="25">
        <f>20*0.8</f>
        <v>16</v>
      </c>
      <c r="Q93" s="25">
        <v>15</v>
      </c>
      <c r="Z93" s="25">
        <v>17</v>
      </c>
      <c r="AI93" s="25">
        <f>15*0.8</f>
        <v>12</v>
      </c>
      <c r="AL93" s="25">
        <v>10</v>
      </c>
      <c r="AO93" s="25">
        <v>9</v>
      </c>
      <c r="AR93" s="25">
        <v>12</v>
      </c>
      <c r="AU93" s="5">
        <f>17*1.2</f>
        <v>20.399999999999999</v>
      </c>
      <c r="AX93" s="5">
        <v>20</v>
      </c>
      <c r="BA93" s="25">
        <v>16</v>
      </c>
      <c r="BD93" s="25">
        <v>16</v>
      </c>
      <c r="BG93" s="5">
        <f>16*18/17</f>
        <v>16.941176470588236</v>
      </c>
      <c r="BJ93" s="25">
        <v>17</v>
      </c>
      <c r="BM93" s="25">
        <v>15</v>
      </c>
      <c r="BP93" s="25">
        <f>20*1.1</f>
        <v>22</v>
      </c>
      <c r="BT93" s="29">
        <v>11</v>
      </c>
    </row>
    <row r="94" spans="1:72" ht="16.05" customHeight="1" x14ac:dyDescent="0.35">
      <c r="A94" s="31" t="s">
        <v>69</v>
      </c>
      <c r="H94" s="29">
        <v>19</v>
      </c>
      <c r="K94" s="25">
        <v>11</v>
      </c>
      <c r="N94" s="5">
        <f>18*0.8</f>
        <v>14.4</v>
      </c>
      <c r="Q94" s="25">
        <v>14</v>
      </c>
      <c r="Z94" s="25">
        <v>11</v>
      </c>
      <c r="AI94" s="25">
        <v>8</v>
      </c>
      <c r="AL94" s="25">
        <v>9</v>
      </c>
      <c r="AO94" s="25">
        <v>11</v>
      </c>
      <c r="AR94" s="25">
        <v>11</v>
      </c>
      <c r="AU94" s="25">
        <v>4</v>
      </c>
      <c r="AX94" s="5">
        <v>17</v>
      </c>
      <c r="BA94" s="25">
        <v>6</v>
      </c>
      <c r="BD94" s="25">
        <v>16</v>
      </c>
      <c r="BG94" s="5">
        <v>15</v>
      </c>
      <c r="BJ94" s="25">
        <v>7</v>
      </c>
      <c r="BM94" s="25">
        <v>18</v>
      </c>
      <c r="BP94" s="25">
        <v>11</v>
      </c>
      <c r="BT94" s="25">
        <v>14</v>
      </c>
    </row>
    <row r="95" spans="1:72" ht="16.05" customHeight="1" x14ac:dyDescent="0.35">
      <c r="A95" s="31" t="s">
        <v>99</v>
      </c>
      <c r="H95" s="28">
        <f>13*1.2</f>
        <v>15.6</v>
      </c>
      <c r="K95" s="25">
        <v>19</v>
      </c>
      <c r="N95" s="5">
        <f>17*0.8</f>
        <v>13.600000000000001</v>
      </c>
      <c r="Q95" s="25">
        <v>19</v>
      </c>
      <c r="Z95" s="25">
        <v>14</v>
      </c>
      <c r="AI95" s="5">
        <f>8*1.1</f>
        <v>8.8000000000000007</v>
      </c>
      <c r="AL95" s="25">
        <v>6</v>
      </c>
      <c r="AO95" s="25">
        <v>9</v>
      </c>
      <c r="AR95" s="25">
        <v>12</v>
      </c>
      <c r="AU95" s="5">
        <f>5*18/16</f>
        <v>5.625</v>
      </c>
      <c r="AX95" s="5">
        <v>21</v>
      </c>
      <c r="BA95" s="5">
        <f>14*0.8</f>
        <v>11.200000000000001</v>
      </c>
      <c r="BD95" s="25">
        <v>12</v>
      </c>
      <c r="BG95" s="5">
        <v>9</v>
      </c>
      <c r="BJ95" s="25">
        <v>17</v>
      </c>
      <c r="BM95" s="25">
        <v>13</v>
      </c>
      <c r="BP95" s="25">
        <v>21</v>
      </c>
      <c r="BT95" s="25">
        <v>21</v>
      </c>
    </row>
    <row r="96" spans="1:72" ht="16.05" customHeight="1" x14ac:dyDescent="0.35">
      <c r="A96" s="31" t="s">
        <v>96</v>
      </c>
      <c r="H96" s="25">
        <v>18</v>
      </c>
      <c r="K96" s="5">
        <f>22*0.8</f>
        <v>17.600000000000001</v>
      </c>
      <c r="N96" s="5">
        <f>20*0.8</f>
        <v>16</v>
      </c>
      <c r="Q96" s="25">
        <v>14</v>
      </c>
      <c r="Z96" s="25">
        <v>12</v>
      </c>
      <c r="AI96" s="25">
        <v>5</v>
      </c>
      <c r="AL96" s="25">
        <v>8</v>
      </c>
      <c r="AO96" s="25">
        <v>11</v>
      </c>
      <c r="AR96" s="25">
        <v>13</v>
      </c>
      <c r="AU96" s="5">
        <f>9*18/16</f>
        <v>10.125</v>
      </c>
      <c r="AX96" s="5">
        <v>17</v>
      </c>
      <c r="BA96" s="5">
        <v>8</v>
      </c>
      <c r="BD96" s="25">
        <v>16</v>
      </c>
      <c r="BG96" s="5">
        <v>14</v>
      </c>
      <c r="BJ96" s="5">
        <f>(9*18/15)*1.1</f>
        <v>11.880000000000003</v>
      </c>
      <c r="BM96" s="25">
        <v>18</v>
      </c>
      <c r="BP96" s="5">
        <f>13*1.1</f>
        <v>14.3</v>
      </c>
      <c r="BT96" s="25">
        <v>16</v>
      </c>
    </row>
    <row r="97" spans="1:72" ht="16.05" customHeight="1" x14ac:dyDescent="0.35">
      <c r="A97" s="31" t="s">
        <v>62</v>
      </c>
      <c r="H97" s="25">
        <v>13</v>
      </c>
      <c r="K97" s="25">
        <v>12</v>
      </c>
      <c r="N97" s="5">
        <f>21*0.8</f>
        <v>16.8</v>
      </c>
      <c r="Q97" s="25">
        <v>18</v>
      </c>
      <c r="Z97" s="25">
        <v>12</v>
      </c>
      <c r="AL97" s="25">
        <v>8</v>
      </c>
      <c r="AO97" s="25">
        <v>16</v>
      </c>
      <c r="AR97" s="25">
        <v>11</v>
      </c>
      <c r="AU97" s="25">
        <v>11</v>
      </c>
      <c r="AX97" s="5">
        <v>17</v>
      </c>
      <c r="BA97" s="5">
        <f>11*0.8</f>
        <v>8.8000000000000007</v>
      </c>
      <c r="BD97" s="25">
        <v>17</v>
      </c>
      <c r="BG97" s="5">
        <v>15</v>
      </c>
      <c r="BJ97" s="25">
        <v>17</v>
      </c>
      <c r="BM97" s="5">
        <f>17*1.1</f>
        <v>18.700000000000003</v>
      </c>
      <c r="BP97" s="25">
        <v>17</v>
      </c>
      <c r="BT97" s="25">
        <v>17</v>
      </c>
    </row>
    <row r="98" spans="1:72" ht="16.05" customHeight="1" x14ac:dyDescent="0.35">
      <c r="A98" s="31" t="s">
        <v>63</v>
      </c>
      <c r="H98" s="25">
        <v>15</v>
      </c>
      <c r="K98" s="25">
        <v>15</v>
      </c>
      <c r="N98" s="5">
        <f>14*0.8</f>
        <v>11.200000000000001</v>
      </c>
      <c r="Q98" s="25">
        <v>20</v>
      </c>
      <c r="Z98" s="25">
        <v>10</v>
      </c>
      <c r="AL98" s="25">
        <v>11</v>
      </c>
      <c r="AO98" s="25">
        <v>13</v>
      </c>
      <c r="AR98" s="25">
        <v>8</v>
      </c>
      <c r="AU98" s="25">
        <v>9</v>
      </c>
      <c r="AX98" s="5">
        <v>17</v>
      </c>
      <c r="BA98" s="25">
        <v>6</v>
      </c>
      <c r="BD98" s="5">
        <f>14*1.1</f>
        <v>15.400000000000002</v>
      </c>
      <c r="BG98" s="5">
        <v>12</v>
      </c>
      <c r="BJ98" s="25">
        <v>12</v>
      </c>
      <c r="BM98" s="25">
        <v>15</v>
      </c>
      <c r="BP98" s="25">
        <v>11</v>
      </c>
      <c r="BT98" s="25">
        <v>14</v>
      </c>
    </row>
    <row r="99" spans="1:72" ht="16.05" customHeight="1" x14ac:dyDescent="0.35">
      <c r="A99" s="31" t="s">
        <v>70</v>
      </c>
      <c r="H99" s="25">
        <v>11</v>
      </c>
      <c r="K99" s="25">
        <v>16</v>
      </c>
      <c r="N99" s="5">
        <f>19*0.8</f>
        <v>15.200000000000001</v>
      </c>
      <c r="Q99" s="25">
        <v>16</v>
      </c>
      <c r="Z99" s="25">
        <v>13</v>
      </c>
      <c r="AL99" s="25">
        <v>11</v>
      </c>
      <c r="AO99" s="25">
        <v>16</v>
      </c>
      <c r="AR99" s="25">
        <v>15</v>
      </c>
      <c r="AU99" s="25">
        <v>9</v>
      </c>
      <c r="AX99" s="5">
        <v>13</v>
      </c>
      <c r="BA99" s="25">
        <v>1</v>
      </c>
      <c r="BD99" s="25">
        <v>13</v>
      </c>
      <c r="BG99" s="5">
        <v>14</v>
      </c>
      <c r="BJ99" s="25">
        <v>7</v>
      </c>
      <c r="BM99" s="25">
        <v>19</v>
      </c>
      <c r="BP99" s="25">
        <v>15</v>
      </c>
      <c r="BT99" s="25">
        <v>14</v>
      </c>
    </row>
    <row r="100" spans="1:72" ht="16.05" customHeight="1" x14ac:dyDescent="0.35">
      <c r="A100" s="31" t="s">
        <v>71</v>
      </c>
      <c r="H100" s="5">
        <f>9*1.1</f>
        <v>9.9</v>
      </c>
      <c r="K100" s="25">
        <v>14</v>
      </c>
      <c r="N100" s="25">
        <v>9</v>
      </c>
      <c r="Q100" s="25">
        <v>15</v>
      </c>
      <c r="Z100" s="25">
        <v>15</v>
      </c>
      <c r="AL100" s="25">
        <v>13</v>
      </c>
      <c r="AO100" s="25">
        <v>18</v>
      </c>
      <c r="AR100" s="25">
        <v>16</v>
      </c>
      <c r="AU100" s="25">
        <v>9</v>
      </c>
      <c r="AX100" s="5">
        <v>19</v>
      </c>
      <c r="BA100" s="25">
        <v>8</v>
      </c>
      <c r="BD100" s="5">
        <f>21*0.8</f>
        <v>16.8</v>
      </c>
      <c r="BG100" s="5">
        <v>9</v>
      </c>
      <c r="BJ100" s="25">
        <v>9</v>
      </c>
      <c r="BM100" s="25">
        <v>17</v>
      </c>
      <c r="BP100" s="5">
        <f>(15*18/17)*1.1</f>
        <v>17.47058823529412</v>
      </c>
      <c r="BT100" s="25">
        <v>20</v>
      </c>
    </row>
    <row r="101" spans="1:72" ht="16.05" customHeight="1" x14ac:dyDescent="0.35">
      <c r="A101" s="31" t="s">
        <v>74</v>
      </c>
      <c r="H101" s="25">
        <v>17</v>
      </c>
      <c r="K101" s="25">
        <v>12</v>
      </c>
      <c r="N101" s="25">
        <v>9</v>
      </c>
      <c r="Q101" s="25">
        <v>16</v>
      </c>
      <c r="Z101" s="25">
        <v>10</v>
      </c>
      <c r="AL101" s="25">
        <v>8</v>
      </c>
      <c r="AO101" s="25">
        <v>17</v>
      </c>
      <c r="AR101" s="25">
        <v>5</v>
      </c>
      <c r="AU101" s="25">
        <v>9</v>
      </c>
      <c r="AX101" s="5">
        <v>21</v>
      </c>
      <c r="BA101" s="25">
        <v>3</v>
      </c>
      <c r="BD101" s="25">
        <v>15</v>
      </c>
      <c r="BJ101" s="25">
        <v>16</v>
      </c>
      <c r="BM101" s="5">
        <f>12*1.2</f>
        <v>14.399999999999999</v>
      </c>
      <c r="BP101" s="25">
        <v>21</v>
      </c>
      <c r="BT101" s="25">
        <v>16</v>
      </c>
    </row>
    <row r="102" spans="1:72" ht="16.05" customHeight="1" x14ac:dyDescent="0.35">
      <c r="A102" s="31" t="s">
        <v>71</v>
      </c>
      <c r="H102" s="25">
        <v>16</v>
      </c>
      <c r="K102" s="25">
        <v>15</v>
      </c>
      <c r="N102" s="25">
        <v>15</v>
      </c>
      <c r="Q102" s="25">
        <v>13</v>
      </c>
      <c r="Z102" s="25">
        <v>13</v>
      </c>
      <c r="AL102" s="25">
        <v>12</v>
      </c>
      <c r="AO102" s="25">
        <v>14</v>
      </c>
      <c r="AR102" s="25">
        <v>19</v>
      </c>
      <c r="AU102" s="29">
        <v>14</v>
      </c>
      <c r="AX102" s="5">
        <v>19</v>
      </c>
      <c r="BA102" s="25">
        <v>9</v>
      </c>
      <c r="BD102" s="25">
        <v>13</v>
      </c>
      <c r="BJ102" s="25">
        <v>16</v>
      </c>
      <c r="BM102" s="25">
        <v>20</v>
      </c>
      <c r="BP102" s="5">
        <v>17</v>
      </c>
      <c r="BT102" s="25">
        <v>18</v>
      </c>
    </row>
    <row r="103" spans="1:72" ht="16.05" customHeight="1" x14ac:dyDescent="0.35">
      <c r="A103" s="31" t="s">
        <v>94</v>
      </c>
      <c r="H103" s="25">
        <v>13</v>
      </c>
      <c r="K103" s="25">
        <v>11</v>
      </c>
      <c r="N103" s="25">
        <v>12</v>
      </c>
      <c r="Q103" s="25">
        <v>17</v>
      </c>
      <c r="Z103" s="5">
        <f>12*1.1</f>
        <v>13.200000000000001</v>
      </c>
      <c r="AL103" s="25">
        <v>13</v>
      </c>
      <c r="AO103" s="25">
        <v>15</v>
      </c>
      <c r="AR103" s="5">
        <f>11*18/16</f>
        <v>12.375</v>
      </c>
      <c r="AU103" s="29">
        <v>10</v>
      </c>
      <c r="AX103" s="5">
        <v>18</v>
      </c>
      <c r="BA103" s="5">
        <f>8*18/16</f>
        <v>9</v>
      </c>
      <c r="BD103" s="25">
        <v>17</v>
      </c>
      <c r="BJ103" s="25">
        <v>10</v>
      </c>
      <c r="BM103" s="25">
        <v>15</v>
      </c>
      <c r="BP103" s="25">
        <v>17</v>
      </c>
      <c r="BT103" s="25">
        <v>11</v>
      </c>
    </row>
    <row r="104" spans="1:72" ht="16.05" customHeight="1" x14ac:dyDescent="0.35">
      <c r="A104" s="31" t="s">
        <v>95</v>
      </c>
      <c r="H104" s="25">
        <v>19</v>
      </c>
      <c r="K104" s="25">
        <v>13</v>
      </c>
      <c r="N104" s="25">
        <v>13</v>
      </c>
      <c r="Q104" s="25">
        <v>19</v>
      </c>
      <c r="Z104" s="5">
        <f>17*0.8</f>
        <v>13.600000000000001</v>
      </c>
      <c r="AL104" s="25">
        <v>16</v>
      </c>
      <c r="AO104" s="25">
        <v>17</v>
      </c>
      <c r="AR104" s="5">
        <f>11*1.2</f>
        <v>13.2</v>
      </c>
      <c r="AU104" s="25">
        <v>12</v>
      </c>
      <c r="AX104" s="5">
        <v>22</v>
      </c>
      <c r="BA104" s="5">
        <f>13*0.8</f>
        <v>10.4</v>
      </c>
      <c r="BD104" s="25">
        <v>16</v>
      </c>
      <c r="BJ104" s="25">
        <v>12</v>
      </c>
      <c r="BM104" s="25">
        <v>16</v>
      </c>
      <c r="BP104" s="25">
        <v>16</v>
      </c>
      <c r="BT104" s="25">
        <v>21</v>
      </c>
    </row>
    <row r="105" spans="1:72" ht="16.05" customHeight="1" x14ac:dyDescent="0.35">
      <c r="H105" s="25">
        <v>16</v>
      </c>
      <c r="K105" s="25">
        <v>7</v>
      </c>
      <c r="N105" s="25">
        <v>17</v>
      </c>
      <c r="Q105" s="25">
        <v>20</v>
      </c>
      <c r="Z105" s="5">
        <f>17*0.8</f>
        <v>13.600000000000001</v>
      </c>
      <c r="AL105" s="25">
        <v>8</v>
      </c>
      <c r="AO105" s="25">
        <v>13</v>
      </c>
      <c r="AR105" s="25">
        <v>10</v>
      </c>
      <c r="AU105" s="25">
        <v>12</v>
      </c>
      <c r="BA105" s="25">
        <v>4</v>
      </c>
      <c r="BD105" s="25">
        <v>19</v>
      </c>
      <c r="BJ105" s="5">
        <f>12*1.1</f>
        <v>13.200000000000001</v>
      </c>
      <c r="BM105" s="25">
        <v>20</v>
      </c>
      <c r="BP105" s="25">
        <v>12</v>
      </c>
      <c r="BT105" s="25">
        <v>17</v>
      </c>
    </row>
    <row r="106" spans="1:72" ht="16.05" customHeight="1" x14ac:dyDescent="0.35">
      <c r="H106" s="5">
        <f>11*18/14</f>
        <v>14.142857142857142</v>
      </c>
      <c r="K106" s="25">
        <v>14</v>
      </c>
      <c r="N106" s="25">
        <v>11</v>
      </c>
      <c r="Q106" s="25">
        <v>16</v>
      </c>
      <c r="Z106" s="25">
        <v>9</v>
      </c>
      <c r="AL106" s="25">
        <v>7</v>
      </c>
      <c r="AO106" s="25">
        <v>15</v>
      </c>
      <c r="AR106" s="5">
        <f>17*1.1</f>
        <v>18.700000000000003</v>
      </c>
      <c r="AU106" s="25">
        <v>11</v>
      </c>
      <c r="BA106" s="25">
        <v>4</v>
      </c>
      <c r="BD106" s="25">
        <v>13</v>
      </c>
      <c r="BJ106" s="25">
        <v>10</v>
      </c>
      <c r="BM106" s="25">
        <v>19</v>
      </c>
      <c r="BP106" s="5">
        <f>11*18/14</f>
        <v>14.142857142857142</v>
      </c>
      <c r="BT106" s="5">
        <f>16*18/17</f>
        <v>16.941176470588236</v>
      </c>
    </row>
    <row r="107" spans="1:72" ht="16.05" customHeight="1" x14ac:dyDescent="0.35">
      <c r="H107" s="5">
        <f>12*18/14</f>
        <v>15.428571428571429</v>
      </c>
      <c r="K107" s="25">
        <v>11</v>
      </c>
      <c r="N107" s="25">
        <v>15</v>
      </c>
      <c r="Q107" s="25">
        <v>19</v>
      </c>
      <c r="Z107" s="25">
        <v>13</v>
      </c>
      <c r="AL107" s="25">
        <v>15</v>
      </c>
      <c r="AO107" s="25">
        <v>15</v>
      </c>
      <c r="AR107" s="5">
        <f>10*18/16</f>
        <v>11.25</v>
      </c>
      <c r="AU107" s="25">
        <v>4</v>
      </c>
      <c r="BA107" s="25">
        <v>9</v>
      </c>
      <c r="BD107" s="25">
        <v>12</v>
      </c>
      <c r="BJ107" s="25">
        <v>11</v>
      </c>
      <c r="BM107" s="5">
        <f>18*1.1</f>
        <v>19.8</v>
      </c>
      <c r="BP107" s="25">
        <v>15</v>
      </c>
      <c r="BT107" s="5">
        <f>21*0.8</f>
        <v>16.8</v>
      </c>
    </row>
    <row r="108" spans="1:72" ht="16.05" customHeight="1" x14ac:dyDescent="0.35">
      <c r="H108" s="25">
        <v>17</v>
      </c>
      <c r="K108" s="25">
        <v>19</v>
      </c>
      <c r="N108" s="25">
        <v>14</v>
      </c>
      <c r="Q108" s="25">
        <v>19</v>
      </c>
      <c r="Z108" s="25">
        <v>15</v>
      </c>
      <c r="AL108" s="25">
        <v>11</v>
      </c>
      <c r="AO108" s="25">
        <v>18</v>
      </c>
      <c r="AR108" s="25">
        <v>10</v>
      </c>
      <c r="AU108" s="25">
        <v>13</v>
      </c>
      <c r="BA108" s="25">
        <v>6</v>
      </c>
      <c r="BD108" s="25">
        <v>13</v>
      </c>
      <c r="BJ108" s="5">
        <f>12*1.2</f>
        <v>14.399999999999999</v>
      </c>
      <c r="BM108" s="5">
        <f>18*1.2</f>
        <v>21.599999999999998</v>
      </c>
      <c r="BP108" s="25">
        <v>19</v>
      </c>
      <c r="BT108" s="5">
        <v>17</v>
      </c>
    </row>
    <row r="109" spans="1:72" ht="16.05" customHeight="1" x14ac:dyDescent="0.35">
      <c r="H109" s="25">
        <v>12</v>
      </c>
      <c r="K109" s="25">
        <v>8</v>
      </c>
      <c r="N109" s="25">
        <v>9</v>
      </c>
      <c r="Q109" s="25">
        <v>17</v>
      </c>
      <c r="Z109" s="25">
        <v>14</v>
      </c>
      <c r="AL109" s="25">
        <v>12</v>
      </c>
      <c r="AO109" s="25">
        <v>14</v>
      </c>
      <c r="AR109" s="25">
        <v>20</v>
      </c>
      <c r="AU109" s="25">
        <v>7</v>
      </c>
      <c r="BA109" s="25">
        <v>8</v>
      </c>
      <c r="BD109" s="25">
        <v>12</v>
      </c>
      <c r="BJ109" s="25">
        <v>18</v>
      </c>
      <c r="BM109" s="5">
        <f>18*1.2</f>
        <v>21.599999999999998</v>
      </c>
      <c r="BP109" s="25">
        <v>11</v>
      </c>
      <c r="BT109" s="5">
        <v>12</v>
      </c>
    </row>
    <row r="110" spans="1:72" ht="16.05" customHeight="1" x14ac:dyDescent="0.35">
      <c r="H110" s="25">
        <v>13</v>
      </c>
      <c r="K110" s="25">
        <v>12</v>
      </c>
      <c r="N110" s="25">
        <f>10*0.9</f>
        <v>9</v>
      </c>
      <c r="Q110" s="25">
        <v>17</v>
      </c>
      <c r="Z110" s="25">
        <v>11</v>
      </c>
      <c r="AL110" s="25">
        <v>12</v>
      </c>
      <c r="AO110" s="25">
        <v>10</v>
      </c>
      <c r="AR110" s="25">
        <v>11</v>
      </c>
      <c r="AU110" s="25">
        <v>5</v>
      </c>
      <c r="BA110" s="25">
        <v>5</v>
      </c>
      <c r="BD110" s="25">
        <v>10</v>
      </c>
      <c r="BJ110" s="25">
        <v>22</v>
      </c>
      <c r="BM110" s="25">
        <v>17</v>
      </c>
      <c r="BP110" s="25">
        <f>10*1.2</f>
        <v>12</v>
      </c>
      <c r="BT110" s="5">
        <v>13</v>
      </c>
    </row>
    <row r="111" spans="1:72" ht="16.05" customHeight="1" x14ac:dyDescent="0.35">
      <c r="H111" s="5">
        <f>9*18/15</f>
        <v>10.8</v>
      </c>
      <c r="K111" s="25">
        <v>16</v>
      </c>
      <c r="N111" s="25">
        <v>15</v>
      </c>
      <c r="Q111" s="25">
        <v>21</v>
      </c>
      <c r="Z111" s="25">
        <v>10</v>
      </c>
      <c r="AL111" s="5">
        <f>6*18/16</f>
        <v>6.75</v>
      </c>
      <c r="AO111" s="25">
        <v>11</v>
      </c>
      <c r="AR111" s="25">
        <v>8</v>
      </c>
      <c r="AU111" s="25">
        <v>5</v>
      </c>
      <c r="BA111" s="25">
        <v>9</v>
      </c>
      <c r="BD111" s="25">
        <v>19</v>
      </c>
      <c r="BJ111" s="25">
        <v>18</v>
      </c>
      <c r="BM111" s="5">
        <f>11*18/15</f>
        <v>13.2</v>
      </c>
      <c r="BP111" s="5">
        <f>9*0.9</f>
        <v>8.1</v>
      </c>
      <c r="BT111" s="5">
        <v>17</v>
      </c>
    </row>
    <row r="112" spans="1:72" ht="16.05" customHeight="1" x14ac:dyDescent="0.35">
      <c r="H112" s="25">
        <v>9</v>
      </c>
      <c r="K112" s="25">
        <v>7</v>
      </c>
      <c r="N112" s="25">
        <v>16</v>
      </c>
      <c r="Q112" s="25">
        <v>17</v>
      </c>
      <c r="Z112" s="25">
        <f>20*0.6</f>
        <v>12</v>
      </c>
      <c r="AL112" s="25">
        <v>8</v>
      </c>
      <c r="AO112" s="25">
        <v>16</v>
      </c>
      <c r="AR112" s="25">
        <v>13</v>
      </c>
      <c r="AU112" s="25">
        <v>9</v>
      </c>
      <c r="BA112" s="25">
        <v>7</v>
      </c>
      <c r="BD112" s="25">
        <v>18</v>
      </c>
      <c r="BJ112" s="25">
        <v>15</v>
      </c>
      <c r="BM112" s="25">
        <v>15</v>
      </c>
      <c r="BP112" s="25">
        <v>10</v>
      </c>
      <c r="BT112" s="5">
        <v>17</v>
      </c>
    </row>
    <row r="113" spans="8:72" ht="16.05" customHeight="1" x14ac:dyDescent="0.35">
      <c r="H113" s="25">
        <v>13</v>
      </c>
      <c r="K113" s="25">
        <v>10</v>
      </c>
      <c r="N113" s="25">
        <v>12</v>
      </c>
      <c r="Q113" s="25">
        <v>18</v>
      </c>
      <c r="Z113" s="25">
        <v>9</v>
      </c>
      <c r="AL113" s="25">
        <v>12</v>
      </c>
      <c r="AO113" s="25">
        <v>6</v>
      </c>
      <c r="AR113" s="29">
        <v>8</v>
      </c>
      <c r="AU113" s="25">
        <v>5</v>
      </c>
      <c r="BA113" s="25">
        <v>11</v>
      </c>
      <c r="BD113" s="25">
        <v>16</v>
      </c>
      <c r="BJ113" s="5">
        <f>19*18/17</f>
        <v>20.117647058823529</v>
      </c>
      <c r="BM113" s="25">
        <v>14</v>
      </c>
      <c r="BP113" s="25">
        <v>13</v>
      </c>
      <c r="BT113" s="5">
        <v>9</v>
      </c>
    </row>
    <row r="114" spans="8:72" ht="16.05" customHeight="1" x14ac:dyDescent="0.35">
      <c r="H114" s="25">
        <v>14</v>
      </c>
      <c r="K114" s="5">
        <v>5</v>
      </c>
      <c r="N114" s="25">
        <v>15</v>
      </c>
      <c r="Q114" s="25">
        <v>17</v>
      </c>
      <c r="Z114" s="25">
        <v>10</v>
      </c>
      <c r="AL114" s="5">
        <f>11*1.2</f>
        <v>13.2</v>
      </c>
      <c r="AO114" s="25">
        <v>16</v>
      </c>
      <c r="AR114" s="25">
        <v>11</v>
      </c>
      <c r="AU114" s="25">
        <v>8</v>
      </c>
      <c r="BA114" s="5">
        <f>11*0.8</f>
        <v>8.8000000000000007</v>
      </c>
      <c r="BD114" s="25">
        <v>19</v>
      </c>
      <c r="BJ114" s="25">
        <v>11</v>
      </c>
      <c r="BM114" s="25">
        <v>24</v>
      </c>
      <c r="BP114" s="25">
        <v>15</v>
      </c>
      <c r="BT114" s="5">
        <v>24</v>
      </c>
    </row>
    <row r="115" spans="8:72" ht="16.05" customHeight="1" x14ac:dyDescent="0.35">
      <c r="H115" s="5">
        <f>10*18/14</f>
        <v>12.857142857142858</v>
      </c>
      <c r="K115" s="5">
        <v>10</v>
      </c>
      <c r="N115" s="25">
        <v>13</v>
      </c>
      <c r="Q115" s="25">
        <v>15</v>
      </c>
      <c r="Z115" s="25">
        <v>12</v>
      </c>
      <c r="AL115" s="25">
        <v>14</v>
      </c>
      <c r="AO115" s="25">
        <v>13</v>
      </c>
      <c r="AR115" s="25">
        <v>17</v>
      </c>
      <c r="AU115" s="25">
        <v>7</v>
      </c>
      <c r="BA115" s="25">
        <v>7</v>
      </c>
      <c r="BD115" s="25">
        <v>16</v>
      </c>
      <c r="BJ115" s="25">
        <v>11</v>
      </c>
      <c r="BM115" s="25">
        <v>15</v>
      </c>
      <c r="BP115" s="5">
        <f>13*18/16</f>
        <v>14.625</v>
      </c>
      <c r="BT115" s="5">
        <v>13</v>
      </c>
    </row>
    <row r="116" spans="8:72" ht="16.05" customHeight="1" x14ac:dyDescent="0.35">
      <c r="H116" s="25">
        <f>14</f>
        <v>14</v>
      </c>
      <c r="K116" s="5">
        <v>8</v>
      </c>
      <c r="N116" s="25">
        <v>13</v>
      </c>
      <c r="Q116" s="25">
        <v>21</v>
      </c>
      <c r="Z116" s="25">
        <v>11</v>
      </c>
      <c r="AL116" s="25">
        <v>17</v>
      </c>
      <c r="AO116" s="25">
        <v>13</v>
      </c>
      <c r="AR116" s="25">
        <v>9</v>
      </c>
      <c r="AU116" s="25">
        <v>3</v>
      </c>
      <c r="BA116" s="25">
        <v>7</v>
      </c>
      <c r="BD116" s="25">
        <v>16</v>
      </c>
      <c r="BJ116" s="25">
        <v>18</v>
      </c>
      <c r="BM116" s="25">
        <v>21</v>
      </c>
      <c r="BP116" s="25">
        <v>17</v>
      </c>
      <c r="BT116" s="5">
        <v>15</v>
      </c>
    </row>
    <row r="117" spans="8:72" ht="16.05" customHeight="1" x14ac:dyDescent="0.35">
      <c r="H117" s="5">
        <f>8*18/14</f>
        <v>10.285714285714286</v>
      </c>
      <c r="K117" s="5">
        <v>14</v>
      </c>
      <c r="N117" s="25">
        <v>10</v>
      </c>
      <c r="Q117" s="25">
        <v>20</v>
      </c>
      <c r="Z117" s="25">
        <v>10</v>
      </c>
      <c r="AL117" s="25">
        <v>13</v>
      </c>
      <c r="AO117" s="25">
        <v>7</v>
      </c>
      <c r="AR117" s="25">
        <v>12</v>
      </c>
      <c r="AU117" s="25">
        <v>7</v>
      </c>
      <c r="BA117" s="5">
        <f>11*0.8</f>
        <v>8.8000000000000007</v>
      </c>
      <c r="BD117" s="25">
        <v>20</v>
      </c>
      <c r="BJ117" s="25">
        <v>17</v>
      </c>
      <c r="BM117" s="29">
        <v>16</v>
      </c>
      <c r="BP117" s="25">
        <v>18</v>
      </c>
      <c r="BT117" s="5">
        <v>17</v>
      </c>
    </row>
    <row r="118" spans="8:72" ht="16.05" customHeight="1" x14ac:dyDescent="0.35">
      <c r="H118" s="5">
        <f>12*1.1</f>
        <v>13.200000000000001</v>
      </c>
      <c r="K118" s="5">
        <v>18</v>
      </c>
      <c r="N118" s="25">
        <v>11</v>
      </c>
      <c r="Q118" s="25">
        <v>16</v>
      </c>
      <c r="Z118" s="25">
        <v>13</v>
      </c>
      <c r="AL118" s="25">
        <v>18</v>
      </c>
      <c r="AO118" s="25">
        <v>15</v>
      </c>
      <c r="AR118" s="25">
        <v>7</v>
      </c>
      <c r="AU118" s="25">
        <v>2</v>
      </c>
      <c r="BA118" s="25">
        <f>15*0.8</f>
        <v>12</v>
      </c>
      <c r="BD118" s="25">
        <v>17</v>
      </c>
      <c r="BJ118" s="25">
        <v>18</v>
      </c>
      <c r="BM118" s="28">
        <f>16*1.1</f>
        <v>17.600000000000001</v>
      </c>
      <c r="BP118" s="29">
        <v>15</v>
      </c>
      <c r="BT118" s="5">
        <v>11</v>
      </c>
    </row>
    <row r="119" spans="8:72" ht="16.05" customHeight="1" x14ac:dyDescent="0.35">
      <c r="H119" s="5">
        <f>23*1.1</f>
        <v>25.3</v>
      </c>
      <c r="K119" s="5">
        <v>6</v>
      </c>
      <c r="N119" s="25">
        <v>14</v>
      </c>
      <c r="Q119" s="25">
        <v>23</v>
      </c>
      <c r="Z119" s="25">
        <v>12</v>
      </c>
      <c r="AL119" s="25">
        <v>11</v>
      </c>
      <c r="AO119" s="25">
        <v>12</v>
      </c>
      <c r="AR119" s="25">
        <v>9</v>
      </c>
      <c r="AU119" s="25">
        <v>7</v>
      </c>
      <c r="BA119" s="25">
        <v>6</v>
      </c>
      <c r="BD119" s="25">
        <v>14</v>
      </c>
      <c r="BJ119" s="29">
        <v>24</v>
      </c>
      <c r="BM119" s="25">
        <v>20</v>
      </c>
      <c r="BP119" s="29">
        <v>19</v>
      </c>
      <c r="BT119" s="5">
        <v>18</v>
      </c>
    </row>
    <row r="120" spans="8:72" ht="16.05" customHeight="1" x14ac:dyDescent="0.35">
      <c r="H120" s="25">
        <v>17</v>
      </c>
      <c r="K120" s="5">
        <v>0</v>
      </c>
      <c r="N120" s="25">
        <v>12</v>
      </c>
      <c r="Q120" s="25">
        <v>24</v>
      </c>
      <c r="Z120" s="25">
        <v>16</v>
      </c>
      <c r="AL120" s="28">
        <f>11*18/14</f>
        <v>14.142857142857142</v>
      </c>
      <c r="AO120" s="5">
        <v>9</v>
      </c>
      <c r="AR120" s="25">
        <v>9</v>
      </c>
      <c r="AU120" s="25">
        <v>6</v>
      </c>
      <c r="BA120" s="25">
        <v>10</v>
      </c>
      <c r="BD120" s="25">
        <v>18</v>
      </c>
      <c r="BJ120" s="25">
        <v>17</v>
      </c>
      <c r="BM120" s="25">
        <v>17</v>
      </c>
      <c r="BP120" s="25">
        <f>14*18/14</f>
        <v>18</v>
      </c>
      <c r="BT120" s="5">
        <v>18</v>
      </c>
    </row>
    <row r="121" spans="8:72" ht="16.05" customHeight="1" x14ac:dyDescent="0.35">
      <c r="H121" s="5">
        <f>9*1.2</f>
        <v>10.799999999999999</v>
      </c>
      <c r="K121" s="5">
        <v>7</v>
      </c>
      <c r="N121" s="25">
        <v>17</v>
      </c>
      <c r="Q121" s="25">
        <v>17</v>
      </c>
      <c r="Z121" s="25">
        <v>14</v>
      </c>
      <c r="AL121" s="29">
        <v>13</v>
      </c>
      <c r="AO121" s="5">
        <v>17</v>
      </c>
      <c r="AR121" s="25">
        <v>6</v>
      </c>
      <c r="AU121" s="25">
        <v>12</v>
      </c>
      <c r="BA121" s="25">
        <v>1</v>
      </c>
      <c r="BD121" s="25">
        <v>20</v>
      </c>
      <c r="BJ121" s="5">
        <f>(12*18/17)*1.1</f>
        <v>13.976470588235294</v>
      </c>
      <c r="BM121" s="25">
        <v>12</v>
      </c>
      <c r="BP121" s="25">
        <v>18</v>
      </c>
      <c r="BT121" s="5">
        <f>24*0.8</f>
        <v>19.200000000000003</v>
      </c>
    </row>
    <row r="122" spans="8:72" ht="16.05" customHeight="1" x14ac:dyDescent="0.35">
      <c r="H122" s="5">
        <f>12*0.8</f>
        <v>9.6000000000000014</v>
      </c>
      <c r="K122" s="5">
        <v>8</v>
      </c>
      <c r="N122" s="25">
        <v>11</v>
      </c>
      <c r="Q122" s="5">
        <f>15*18/14</f>
        <v>19.285714285714285</v>
      </c>
      <c r="Z122" s="5">
        <f>12*0.9</f>
        <v>10.8</v>
      </c>
      <c r="AL122" s="4">
        <f>0.714285714285714*18</f>
        <v>12.857142857142851</v>
      </c>
      <c r="AO122" s="5">
        <v>13</v>
      </c>
      <c r="AR122" s="25">
        <v>14</v>
      </c>
      <c r="AU122" s="25">
        <v>5</v>
      </c>
      <c r="BA122" s="25">
        <v>10</v>
      </c>
      <c r="BD122" s="25">
        <v>18</v>
      </c>
      <c r="BJ122" s="25">
        <v>14</v>
      </c>
      <c r="BM122" s="25">
        <v>24</v>
      </c>
      <c r="BP122" s="5">
        <f>13*1.1</f>
        <v>14.3</v>
      </c>
      <c r="BT122" s="5">
        <v>11</v>
      </c>
    </row>
    <row r="123" spans="8:72" ht="16.05" customHeight="1" x14ac:dyDescent="0.35">
      <c r="H123" s="5">
        <f>13*1.1</f>
        <v>14.3</v>
      </c>
      <c r="K123" s="5">
        <v>4</v>
      </c>
      <c r="N123" s="25">
        <v>16</v>
      </c>
      <c r="Q123" s="25">
        <v>19</v>
      </c>
      <c r="Z123" s="25">
        <v>13</v>
      </c>
      <c r="AL123" s="25">
        <v>11</v>
      </c>
      <c r="AO123" s="5">
        <v>16</v>
      </c>
      <c r="AR123" s="25">
        <v>10</v>
      </c>
      <c r="AU123" s="25">
        <v>14</v>
      </c>
      <c r="BA123" s="25">
        <v>6</v>
      </c>
      <c r="BD123" s="25">
        <v>13</v>
      </c>
      <c r="BJ123" s="25">
        <v>16</v>
      </c>
      <c r="BM123" s="25">
        <v>19</v>
      </c>
      <c r="BP123" s="5">
        <f>(8*1.1)*18/14</f>
        <v>11.314285714285715</v>
      </c>
      <c r="BT123" s="5">
        <f>14*18/17</f>
        <v>14.823529411764707</v>
      </c>
    </row>
    <row r="124" spans="8:72" ht="16.05" customHeight="1" x14ac:dyDescent="0.35">
      <c r="H124" s="5">
        <f>14*18/17</f>
        <v>14.823529411764707</v>
      </c>
      <c r="K124" s="5">
        <v>5</v>
      </c>
      <c r="N124" s="25">
        <v>10</v>
      </c>
      <c r="Q124" s="5">
        <f>17*1.2</f>
        <v>20.399999999999999</v>
      </c>
      <c r="Z124" s="25">
        <v>10</v>
      </c>
      <c r="AL124" s="25">
        <v>13</v>
      </c>
      <c r="AO124" s="5">
        <v>11</v>
      </c>
      <c r="AR124" s="25">
        <v>8</v>
      </c>
      <c r="AU124" s="25">
        <v>3</v>
      </c>
      <c r="BA124" s="5">
        <f>12*1.1</f>
        <v>13.200000000000001</v>
      </c>
      <c r="BD124" s="25">
        <v>17</v>
      </c>
      <c r="BJ124" s="25">
        <v>13</v>
      </c>
      <c r="BM124" s="5">
        <f>12*1.1</f>
        <v>13.200000000000001</v>
      </c>
      <c r="BP124" s="25">
        <v>20</v>
      </c>
      <c r="BT124" s="5">
        <v>15</v>
      </c>
    </row>
    <row r="125" spans="8:72" ht="16.05" customHeight="1" x14ac:dyDescent="0.35">
      <c r="H125" s="25">
        <v>12</v>
      </c>
      <c r="K125" s="5">
        <v>13</v>
      </c>
      <c r="N125" s="25">
        <v>15</v>
      </c>
      <c r="Q125" s="5">
        <f>17*1.2</f>
        <v>20.399999999999999</v>
      </c>
      <c r="Z125" s="25">
        <v>12</v>
      </c>
      <c r="AL125" s="25">
        <v>16</v>
      </c>
      <c r="AO125" s="5">
        <v>20</v>
      </c>
      <c r="AR125" s="25">
        <v>6</v>
      </c>
      <c r="AU125" s="25">
        <v>20</v>
      </c>
      <c r="BA125" s="25">
        <v>7</v>
      </c>
      <c r="BD125" s="25">
        <v>15</v>
      </c>
      <c r="BJ125" s="25">
        <v>17</v>
      </c>
      <c r="BM125" s="5">
        <f>19*0.8</f>
        <v>15.200000000000001</v>
      </c>
      <c r="BP125" s="25">
        <v>14</v>
      </c>
      <c r="BT125" s="5">
        <v>11</v>
      </c>
    </row>
    <row r="126" spans="8:72" ht="16.05" customHeight="1" x14ac:dyDescent="0.35">
      <c r="H126" s="25">
        <v>13</v>
      </c>
      <c r="K126" s="5">
        <v>12</v>
      </c>
      <c r="N126" s="25">
        <v>16</v>
      </c>
      <c r="Q126" s="5">
        <f>18*1.2</f>
        <v>21.599999999999998</v>
      </c>
      <c r="Z126" s="25">
        <v>12</v>
      </c>
      <c r="AL126" s="25">
        <v>15</v>
      </c>
      <c r="AO126" s="5">
        <v>11</v>
      </c>
      <c r="AR126" s="25">
        <v>9</v>
      </c>
      <c r="AU126" s="25">
        <v>3</v>
      </c>
      <c r="BA126" s="25">
        <v>6</v>
      </c>
      <c r="BD126" s="25">
        <v>16</v>
      </c>
      <c r="BJ126" s="25">
        <v>15</v>
      </c>
      <c r="BM126" s="5">
        <f>18*1.2</f>
        <v>21.599999999999998</v>
      </c>
      <c r="BP126" s="25">
        <v>20</v>
      </c>
      <c r="BT126" s="5">
        <v>17</v>
      </c>
    </row>
    <row r="127" spans="8:72" ht="16.05" customHeight="1" x14ac:dyDescent="0.35">
      <c r="H127" s="25">
        <v>21</v>
      </c>
      <c r="K127" s="5">
        <f>18*0.8</f>
        <v>14.4</v>
      </c>
      <c r="N127" s="25">
        <v>22</v>
      </c>
      <c r="Q127" s="25">
        <v>22</v>
      </c>
      <c r="Z127" s="25">
        <v>13</v>
      </c>
      <c r="AL127" s="25">
        <v>11</v>
      </c>
      <c r="AO127" s="5">
        <v>19</v>
      </c>
      <c r="AR127" s="25">
        <v>12</v>
      </c>
      <c r="AU127" s="25">
        <v>3</v>
      </c>
      <c r="BA127" s="25">
        <v>14</v>
      </c>
      <c r="BD127" s="25">
        <v>16</v>
      </c>
      <c r="BJ127" s="25">
        <v>11</v>
      </c>
      <c r="BM127" s="25">
        <v>20</v>
      </c>
      <c r="BP127" s="5">
        <f>15*18/16</f>
        <v>16.875</v>
      </c>
      <c r="BT127" s="5">
        <v>13</v>
      </c>
    </row>
    <row r="128" spans="8:72" ht="16.05" customHeight="1" x14ac:dyDescent="0.35">
      <c r="H128" s="25">
        <v>11</v>
      </c>
      <c r="K128" s="5">
        <v>10</v>
      </c>
      <c r="N128" s="25">
        <v>18</v>
      </c>
      <c r="Q128" s="25">
        <v>15</v>
      </c>
      <c r="Z128" s="25">
        <f>10*1.1</f>
        <v>11</v>
      </c>
      <c r="AL128" s="25">
        <v>12</v>
      </c>
      <c r="AO128" s="5">
        <v>11</v>
      </c>
      <c r="AR128" s="5">
        <v>10</v>
      </c>
      <c r="AU128" s="25">
        <v>8</v>
      </c>
      <c r="BA128" s="25">
        <v>7</v>
      </c>
      <c r="BD128" s="25">
        <v>15</v>
      </c>
      <c r="BJ128" s="25">
        <v>18</v>
      </c>
      <c r="BM128" s="5">
        <f>13*1.1</f>
        <v>14.3</v>
      </c>
      <c r="BP128" s="25">
        <v>14</v>
      </c>
    </row>
    <row r="129" spans="8:68" ht="16.05" customHeight="1" x14ac:dyDescent="0.35">
      <c r="H129" s="25">
        <v>17</v>
      </c>
      <c r="K129" s="5">
        <v>5</v>
      </c>
      <c r="N129" s="5">
        <f>12*1.2</f>
        <v>14.399999999999999</v>
      </c>
      <c r="Q129" s="25">
        <v>24</v>
      </c>
      <c r="Z129" s="25">
        <v>15</v>
      </c>
      <c r="AL129" s="25">
        <v>9</v>
      </c>
      <c r="AO129" s="5">
        <v>10</v>
      </c>
      <c r="AR129" s="25">
        <v>14</v>
      </c>
      <c r="AU129" s="25">
        <v>9</v>
      </c>
      <c r="BA129" s="25">
        <v>8</v>
      </c>
      <c r="BD129" s="5">
        <f>13*18/14</f>
        <v>16.714285714285715</v>
      </c>
      <c r="BJ129" s="25">
        <v>11</v>
      </c>
      <c r="BM129" s="25">
        <v>17</v>
      </c>
      <c r="BP129" s="25">
        <f>10*18/15</f>
        <v>12</v>
      </c>
    </row>
    <row r="130" spans="8:68" ht="16.05" customHeight="1" x14ac:dyDescent="0.35">
      <c r="H130" s="25">
        <v>14</v>
      </c>
      <c r="K130" s="5">
        <v>5</v>
      </c>
      <c r="N130" s="25">
        <v>15</v>
      </c>
      <c r="Q130" s="5">
        <f>14*18/16</f>
        <v>15.75</v>
      </c>
      <c r="Z130" s="25">
        <v>10</v>
      </c>
      <c r="AL130" s="25">
        <v>10</v>
      </c>
      <c r="AO130" s="5">
        <v>18</v>
      </c>
      <c r="AR130" s="25">
        <v>13</v>
      </c>
      <c r="AU130" s="25">
        <v>3</v>
      </c>
      <c r="BA130" s="25">
        <v>5</v>
      </c>
      <c r="BD130" s="5">
        <f>13*1.1</f>
        <v>14.3</v>
      </c>
      <c r="BJ130" s="25">
        <v>13</v>
      </c>
      <c r="BM130" s="25">
        <v>9</v>
      </c>
      <c r="BP130" s="25">
        <v>13</v>
      </c>
    </row>
    <row r="131" spans="8:68" ht="16.05" customHeight="1" x14ac:dyDescent="0.35">
      <c r="H131" s="25">
        <v>18</v>
      </c>
      <c r="K131" s="5">
        <v>4</v>
      </c>
      <c r="N131" s="25">
        <v>20</v>
      </c>
      <c r="Q131" s="25">
        <v>19</v>
      </c>
      <c r="Z131" s="25">
        <v>12</v>
      </c>
      <c r="AL131" s="25">
        <v>12</v>
      </c>
      <c r="AO131" s="5">
        <v>16</v>
      </c>
      <c r="AR131" s="25">
        <v>10</v>
      </c>
      <c r="AU131" s="25">
        <v>9</v>
      </c>
      <c r="BA131" s="25">
        <v>6</v>
      </c>
      <c r="BD131" s="5">
        <f>11*1.2</f>
        <v>13.2</v>
      </c>
      <c r="BJ131" s="25">
        <f>10*1.1</f>
        <v>11</v>
      </c>
      <c r="BM131" s="25">
        <v>21</v>
      </c>
      <c r="BP131" s="25">
        <v>17</v>
      </c>
    </row>
    <row r="132" spans="8:68" ht="16.05" customHeight="1" x14ac:dyDescent="0.35">
      <c r="H132" s="25">
        <v>18</v>
      </c>
      <c r="K132" s="5">
        <v>14</v>
      </c>
      <c r="N132" s="25">
        <v>13</v>
      </c>
      <c r="Q132" s="29">
        <v>18</v>
      </c>
      <c r="Z132" s="25">
        <v>10</v>
      </c>
      <c r="AL132" s="25">
        <v>14</v>
      </c>
      <c r="AO132" s="5">
        <v>13</v>
      </c>
      <c r="AR132" s="25">
        <v>11</v>
      </c>
      <c r="AU132" s="25">
        <v>4</v>
      </c>
      <c r="BA132" s="25">
        <v>4</v>
      </c>
      <c r="BD132" s="25">
        <v>22</v>
      </c>
      <c r="BJ132" s="5">
        <f>13*1.1</f>
        <v>14.3</v>
      </c>
      <c r="BM132" s="25">
        <v>17</v>
      </c>
      <c r="BP132" s="25">
        <v>15</v>
      </c>
    </row>
    <row r="133" spans="8:68" ht="16.05" customHeight="1" x14ac:dyDescent="0.35">
      <c r="H133" s="25">
        <v>20</v>
      </c>
      <c r="K133" s="5">
        <v>16</v>
      </c>
      <c r="N133" s="25">
        <v>15</v>
      </c>
      <c r="Q133" s="29">
        <v>19</v>
      </c>
      <c r="Z133" s="25">
        <v>10</v>
      </c>
      <c r="AL133" s="25">
        <v>6</v>
      </c>
      <c r="AO133" s="5">
        <v>23</v>
      </c>
      <c r="AR133" s="25">
        <v>16</v>
      </c>
      <c r="AU133" s="25">
        <v>7</v>
      </c>
      <c r="BA133" s="25">
        <v>4</v>
      </c>
      <c r="BD133" s="25">
        <v>17</v>
      </c>
      <c r="BJ133" s="5">
        <f>21*0.8</f>
        <v>16.8</v>
      </c>
      <c r="BM133" s="25">
        <v>13</v>
      </c>
      <c r="BP133" s="25">
        <v>12</v>
      </c>
    </row>
    <row r="134" spans="8:68" ht="16.05" customHeight="1" x14ac:dyDescent="0.35">
      <c r="H134" s="25">
        <v>20</v>
      </c>
      <c r="N134" s="25">
        <v>12</v>
      </c>
      <c r="Q134" s="25">
        <v>17</v>
      </c>
      <c r="Z134" s="5">
        <f>11*1.2</f>
        <v>13.2</v>
      </c>
      <c r="AL134" s="25">
        <v>19</v>
      </c>
      <c r="AO134" s="5">
        <v>6</v>
      </c>
      <c r="AR134" s="25">
        <v>6</v>
      </c>
      <c r="AU134" s="25">
        <v>7</v>
      </c>
      <c r="BA134" s="25">
        <v>17</v>
      </c>
      <c r="BD134" s="25">
        <v>11</v>
      </c>
      <c r="BJ134" s="25">
        <v>15</v>
      </c>
      <c r="BM134" s="25">
        <v>15</v>
      </c>
      <c r="BP134" s="25">
        <v>13</v>
      </c>
    </row>
    <row r="135" spans="8:68" ht="16.05" customHeight="1" x14ac:dyDescent="0.35">
      <c r="H135" s="25">
        <v>18</v>
      </c>
      <c r="N135" s="5">
        <f>7*18/15</f>
        <v>8.4</v>
      </c>
      <c r="Q135" s="25">
        <v>24</v>
      </c>
      <c r="Z135" s="25">
        <v>12</v>
      </c>
      <c r="AL135" s="25">
        <v>14</v>
      </c>
      <c r="AO135" s="5">
        <v>19</v>
      </c>
      <c r="AR135" s="25">
        <v>3</v>
      </c>
      <c r="AU135" s="25">
        <v>4</v>
      </c>
      <c r="BA135" s="25">
        <v>8</v>
      </c>
      <c r="BD135" s="25">
        <v>17</v>
      </c>
      <c r="BJ135" s="5">
        <f>18*1.1</f>
        <v>19.8</v>
      </c>
      <c r="BM135" s="25">
        <v>14</v>
      </c>
      <c r="BP135" s="25">
        <v>18</v>
      </c>
    </row>
    <row r="136" spans="8:68" ht="16.05" customHeight="1" x14ac:dyDescent="0.35">
      <c r="H136" s="25">
        <v>15</v>
      </c>
      <c r="N136" s="25">
        <v>22</v>
      </c>
      <c r="Q136" s="25">
        <v>23</v>
      </c>
      <c r="Z136" s="25">
        <v>11</v>
      </c>
      <c r="AL136" s="25">
        <v>14</v>
      </c>
      <c r="AO136" s="5">
        <v>14</v>
      </c>
      <c r="AR136" s="25">
        <v>15</v>
      </c>
      <c r="AU136" s="5">
        <v>6</v>
      </c>
      <c r="BA136" s="25">
        <v>12</v>
      </c>
      <c r="BD136" s="25">
        <v>15</v>
      </c>
      <c r="BJ136" s="5">
        <f>12*0.9</f>
        <v>10.8</v>
      </c>
      <c r="BM136" s="25">
        <v>17</v>
      </c>
      <c r="BP136" s="25">
        <v>16</v>
      </c>
    </row>
    <row r="137" spans="8:68" ht="16.05" customHeight="1" x14ac:dyDescent="0.35">
      <c r="H137" s="25">
        <v>11</v>
      </c>
      <c r="N137" s="5">
        <f>12*18/15</f>
        <v>14.4</v>
      </c>
      <c r="Q137" s="25">
        <v>19</v>
      </c>
      <c r="Z137" s="25">
        <v>14</v>
      </c>
      <c r="AL137" s="25">
        <v>12</v>
      </c>
      <c r="AO137" s="5">
        <v>11</v>
      </c>
      <c r="AR137" s="25">
        <v>13</v>
      </c>
      <c r="AU137" s="5">
        <v>11</v>
      </c>
      <c r="BA137" s="25">
        <v>11</v>
      </c>
      <c r="BD137" s="25">
        <v>15</v>
      </c>
      <c r="BJ137" s="25">
        <v>15</v>
      </c>
      <c r="BM137" s="25">
        <v>15</v>
      </c>
      <c r="BP137" s="5">
        <f>13*18/15</f>
        <v>15.6</v>
      </c>
    </row>
    <row r="138" spans="8:68" ht="16.05" customHeight="1" x14ac:dyDescent="0.35">
      <c r="H138" s="25">
        <v>18</v>
      </c>
      <c r="N138" s="29">
        <v>13</v>
      </c>
      <c r="Q138" s="25">
        <v>20</v>
      </c>
      <c r="Z138" s="25">
        <v>12</v>
      </c>
      <c r="AL138" s="25">
        <v>12</v>
      </c>
      <c r="AO138" s="5">
        <v>14</v>
      </c>
      <c r="AR138" s="25">
        <v>19</v>
      </c>
      <c r="AU138" s="5">
        <v>2</v>
      </c>
      <c r="BA138" s="25">
        <v>9</v>
      </c>
      <c r="BD138" s="25">
        <v>17</v>
      </c>
      <c r="BJ138" s="25">
        <v>20</v>
      </c>
      <c r="BM138" s="25">
        <v>16</v>
      </c>
      <c r="BP138" s="5">
        <f>13*1.1</f>
        <v>14.3</v>
      </c>
    </row>
    <row r="139" spans="8:68" ht="16.05" customHeight="1" x14ac:dyDescent="0.35">
      <c r="H139" s="25">
        <v>18</v>
      </c>
      <c r="N139" s="28">
        <f>9*18/17</f>
        <v>9.5294117647058822</v>
      </c>
      <c r="Q139" s="25">
        <v>23</v>
      </c>
      <c r="Z139" s="25">
        <v>15</v>
      </c>
      <c r="AL139" s="25">
        <v>9</v>
      </c>
      <c r="AO139" s="5">
        <v>11</v>
      </c>
      <c r="AR139" s="25">
        <v>21</v>
      </c>
      <c r="AU139" s="5">
        <v>3</v>
      </c>
      <c r="BA139" s="25">
        <v>7</v>
      </c>
      <c r="BD139" s="29">
        <v>15</v>
      </c>
      <c r="BJ139" s="25">
        <v>17</v>
      </c>
      <c r="BM139" s="25">
        <v>23</v>
      </c>
      <c r="BP139" s="5">
        <f>12*1.1</f>
        <v>13.200000000000001</v>
      </c>
    </row>
    <row r="140" spans="8:68" ht="16.05" customHeight="1" x14ac:dyDescent="0.35">
      <c r="H140" s="25">
        <v>21</v>
      </c>
      <c r="N140" s="29">
        <v>13</v>
      </c>
      <c r="Q140" s="25">
        <v>21</v>
      </c>
      <c r="Z140" s="5">
        <f>12*18/14</f>
        <v>15.428571428571429</v>
      </c>
      <c r="AL140" s="25">
        <v>14</v>
      </c>
      <c r="AR140" s="25">
        <v>11</v>
      </c>
      <c r="AU140" s="5">
        <v>4</v>
      </c>
      <c r="BA140" s="25">
        <v>8</v>
      </c>
      <c r="BD140" s="29">
        <v>18</v>
      </c>
      <c r="BJ140" s="25">
        <v>21</v>
      </c>
      <c r="BM140" s="5">
        <f>17*1.2</f>
        <v>20.399999999999999</v>
      </c>
      <c r="BP140" s="5">
        <f>13*1.1</f>
        <v>14.3</v>
      </c>
    </row>
    <row r="141" spans="8:68" ht="16.05" customHeight="1" x14ac:dyDescent="0.35">
      <c r="H141" s="25">
        <v>21</v>
      </c>
      <c r="N141" s="25">
        <v>19</v>
      </c>
      <c r="Q141" s="25">
        <v>15</v>
      </c>
      <c r="Z141" s="5">
        <f>8*18/14</f>
        <v>10.285714285714286</v>
      </c>
      <c r="AL141" s="25">
        <v>10</v>
      </c>
      <c r="AR141" s="25">
        <v>15</v>
      </c>
      <c r="AU141" s="5">
        <v>7</v>
      </c>
      <c r="BA141" s="5">
        <f>2*18/15</f>
        <v>2.4</v>
      </c>
      <c r="BD141" s="5">
        <f>11*1.1</f>
        <v>12.100000000000001</v>
      </c>
      <c r="BJ141" s="5">
        <f>16*18/17</f>
        <v>16.941176470588236</v>
      </c>
      <c r="BM141" s="5">
        <f>11*1.2</f>
        <v>13.2</v>
      </c>
      <c r="BP141" s="25">
        <v>12</v>
      </c>
    </row>
    <row r="142" spans="8:68" ht="16.05" customHeight="1" x14ac:dyDescent="0.35">
      <c r="H142" s="25">
        <v>17</v>
      </c>
      <c r="N142" s="25">
        <v>21</v>
      </c>
      <c r="Q142" s="25">
        <v>24</v>
      </c>
      <c r="Z142" s="25">
        <v>12</v>
      </c>
      <c r="AL142" s="25">
        <v>13</v>
      </c>
      <c r="AR142" s="25">
        <v>15</v>
      </c>
      <c r="AU142" s="5">
        <v>5</v>
      </c>
      <c r="BA142" s="25">
        <v>13</v>
      </c>
      <c r="BD142" s="25">
        <v>19</v>
      </c>
      <c r="BJ142" s="25">
        <v>9</v>
      </c>
      <c r="BM142" s="25">
        <v>24</v>
      </c>
      <c r="BP142" s="25">
        <v>16</v>
      </c>
    </row>
    <row r="143" spans="8:68" ht="16.05" customHeight="1" x14ac:dyDescent="0.35">
      <c r="H143" s="25">
        <v>16</v>
      </c>
      <c r="N143" s="25">
        <v>14</v>
      </c>
      <c r="Q143" s="25">
        <v>20</v>
      </c>
      <c r="Z143" s="5">
        <f>13*1.2</f>
        <v>15.6</v>
      </c>
      <c r="AL143" s="25">
        <v>13</v>
      </c>
      <c r="AR143" s="25">
        <v>12</v>
      </c>
      <c r="AU143" s="5">
        <v>9</v>
      </c>
      <c r="BA143" s="25">
        <v>11</v>
      </c>
      <c r="BD143" s="25">
        <v>12</v>
      </c>
      <c r="BJ143" s="25">
        <v>8</v>
      </c>
      <c r="BM143" s="5">
        <f>16*1.2</f>
        <v>19.2</v>
      </c>
      <c r="BP143" s="25">
        <v>12</v>
      </c>
    </row>
    <row r="144" spans="8:68" ht="16.05" customHeight="1" x14ac:dyDescent="0.35">
      <c r="H144" s="25">
        <v>14</v>
      </c>
      <c r="N144" s="25">
        <v>17</v>
      </c>
      <c r="Q144" s="25">
        <v>16</v>
      </c>
      <c r="Z144" s="25">
        <v>7</v>
      </c>
      <c r="AL144" s="25">
        <v>12</v>
      </c>
      <c r="AR144" s="5">
        <f>15*1.1</f>
        <v>16.5</v>
      </c>
      <c r="AU144" s="5">
        <v>5</v>
      </c>
      <c r="BA144" s="28">
        <f>14*18/17</f>
        <v>14.823529411764707</v>
      </c>
      <c r="BD144" s="25">
        <v>19</v>
      </c>
      <c r="BJ144" s="25">
        <v>12</v>
      </c>
      <c r="BM144" s="5">
        <f>11*1.2</f>
        <v>13.2</v>
      </c>
      <c r="BP144" s="25">
        <v>16</v>
      </c>
    </row>
    <row r="145" spans="8:68" ht="16.05" customHeight="1" x14ac:dyDescent="0.35">
      <c r="H145" s="5">
        <f>13*1.2</f>
        <v>15.6</v>
      </c>
      <c r="N145" s="25">
        <v>17</v>
      </c>
      <c r="Q145" s="25">
        <v>18</v>
      </c>
      <c r="Z145" s="5">
        <f>11*1.2</f>
        <v>13.2</v>
      </c>
      <c r="AL145" s="25">
        <v>11</v>
      </c>
      <c r="AR145" s="25">
        <v>9</v>
      </c>
      <c r="AU145" s="5">
        <v>7</v>
      </c>
      <c r="BA145" s="25">
        <v>5</v>
      </c>
      <c r="BD145" s="25">
        <v>12</v>
      </c>
      <c r="BJ145" s="25">
        <v>13</v>
      </c>
      <c r="BM145" s="5">
        <f>16*1.2</f>
        <v>19.2</v>
      </c>
      <c r="BP145" s="25">
        <v>18</v>
      </c>
    </row>
    <row r="146" spans="8:68" ht="16.05" customHeight="1" x14ac:dyDescent="0.35">
      <c r="H146" s="25">
        <f>15*1.2</f>
        <v>18</v>
      </c>
      <c r="N146" s="25">
        <v>14</v>
      </c>
      <c r="Q146" s="25">
        <v>21</v>
      </c>
      <c r="Z146" s="25">
        <v>9</v>
      </c>
      <c r="AL146" s="25">
        <v>14</v>
      </c>
      <c r="AR146" s="25">
        <v>8</v>
      </c>
      <c r="AU146" s="5">
        <v>3</v>
      </c>
      <c r="BA146" s="25">
        <v>9</v>
      </c>
      <c r="BD146" s="5">
        <f>16*1.1</f>
        <v>17.600000000000001</v>
      </c>
      <c r="BJ146" s="25">
        <v>13</v>
      </c>
      <c r="BM146" s="5">
        <f>20*1.2</f>
        <v>24</v>
      </c>
      <c r="BP146" s="25">
        <v>14</v>
      </c>
    </row>
    <row r="147" spans="8:68" ht="16.05" customHeight="1" x14ac:dyDescent="0.35">
      <c r="H147" s="5">
        <f>13*1.2</f>
        <v>15.6</v>
      </c>
      <c r="N147" s="25">
        <v>14</v>
      </c>
      <c r="Q147" s="25">
        <v>16</v>
      </c>
      <c r="Z147" s="25">
        <v>11</v>
      </c>
      <c r="AL147" s="25">
        <v>14</v>
      </c>
      <c r="AR147" s="25">
        <v>15</v>
      </c>
      <c r="AU147" s="5">
        <v>8</v>
      </c>
      <c r="BA147" s="25">
        <v>7</v>
      </c>
      <c r="BD147" s="5">
        <f>8*1.2</f>
        <v>9.6</v>
      </c>
      <c r="BJ147" s="25">
        <v>13</v>
      </c>
      <c r="BM147" s="25">
        <v>22</v>
      </c>
      <c r="BP147" s="5">
        <f>16*1.1</f>
        <v>17.600000000000001</v>
      </c>
    </row>
    <row r="148" spans="8:68" ht="16.05" customHeight="1" x14ac:dyDescent="0.35">
      <c r="H148" s="25">
        <v>12</v>
      </c>
      <c r="N148" s="25">
        <v>16</v>
      </c>
      <c r="Q148" s="25">
        <v>15</v>
      </c>
      <c r="Z148" s="29">
        <v>6</v>
      </c>
      <c r="AL148" s="25">
        <v>12</v>
      </c>
      <c r="AR148" s="25">
        <v>11</v>
      </c>
      <c r="AU148" s="5">
        <v>8</v>
      </c>
      <c r="BA148" s="25">
        <v>5</v>
      </c>
      <c r="BD148" s="25">
        <v>15</v>
      </c>
      <c r="BJ148" s="25">
        <v>10</v>
      </c>
      <c r="BM148" s="25">
        <v>14</v>
      </c>
      <c r="BP148" s="25">
        <v>20</v>
      </c>
    </row>
    <row r="149" spans="8:68" ht="16.05" customHeight="1" x14ac:dyDescent="0.35">
      <c r="H149" s="5">
        <f>9*1.2</f>
        <v>10.799999999999999</v>
      </c>
      <c r="N149" s="25">
        <v>10</v>
      </c>
      <c r="Q149" s="25">
        <v>13</v>
      </c>
      <c r="Z149" s="29">
        <v>12</v>
      </c>
      <c r="AL149" s="5">
        <f>12*1.1</f>
        <v>13.200000000000001</v>
      </c>
      <c r="AR149" s="25">
        <v>10</v>
      </c>
      <c r="AU149" s="5">
        <v>5</v>
      </c>
      <c r="BA149" s="25">
        <v>6</v>
      </c>
      <c r="BD149" s="5">
        <f>24*0.8</f>
        <v>19.200000000000003</v>
      </c>
      <c r="BJ149" s="25">
        <v>17</v>
      </c>
      <c r="BM149" s="5">
        <f>11*1.2</f>
        <v>13.2</v>
      </c>
      <c r="BP149" s="25">
        <v>14</v>
      </c>
    </row>
    <row r="150" spans="8:68" ht="16.05" customHeight="1" x14ac:dyDescent="0.35">
      <c r="H150" s="25">
        <v>18</v>
      </c>
      <c r="N150" s="5">
        <f>17*0.8</f>
        <v>13.600000000000001</v>
      </c>
      <c r="Q150" s="25">
        <v>18</v>
      </c>
      <c r="Z150" s="29">
        <v>17</v>
      </c>
      <c r="AL150" s="25">
        <v>20</v>
      </c>
      <c r="AR150" s="25">
        <v>12</v>
      </c>
      <c r="AU150" s="5">
        <v>7</v>
      </c>
      <c r="BA150" s="5">
        <f>13*0.8</f>
        <v>10.4</v>
      </c>
      <c r="BD150" s="5">
        <f>17*1.1</f>
        <v>18.700000000000003</v>
      </c>
      <c r="BJ150" s="25">
        <v>17</v>
      </c>
      <c r="BM150" s="25">
        <v>8</v>
      </c>
      <c r="BP150" s="25">
        <v>20</v>
      </c>
    </row>
    <row r="151" spans="8:68" ht="16.05" customHeight="1" x14ac:dyDescent="0.35">
      <c r="H151" s="25">
        <v>11</v>
      </c>
      <c r="N151" s="5">
        <f>10*18/14</f>
        <v>12.857142857142858</v>
      </c>
      <c r="Q151" s="25">
        <v>23</v>
      </c>
      <c r="Z151" s="5">
        <f>18*18/17</f>
        <v>19.058823529411764</v>
      </c>
      <c r="AL151" s="25">
        <v>9</v>
      </c>
      <c r="AR151" s="25">
        <v>10</v>
      </c>
      <c r="AU151" s="5">
        <v>11</v>
      </c>
      <c r="BA151" s="25">
        <v>6</v>
      </c>
      <c r="BD151" s="5">
        <f>16*1.1</f>
        <v>17.600000000000001</v>
      </c>
      <c r="BJ151" s="5">
        <f>12*1.1</f>
        <v>13.200000000000001</v>
      </c>
      <c r="BM151" s="25">
        <f>20*0.8</f>
        <v>16</v>
      </c>
      <c r="BP151" s="25">
        <v>14</v>
      </c>
    </row>
    <row r="152" spans="8:68" ht="16.05" customHeight="1" x14ac:dyDescent="0.35">
      <c r="H152" s="25">
        <v>12</v>
      </c>
      <c r="N152" s="25">
        <v>13</v>
      </c>
      <c r="Q152" s="25">
        <v>22</v>
      </c>
      <c r="Z152" s="25">
        <v>9</v>
      </c>
      <c r="AL152" s="25">
        <v>13</v>
      </c>
      <c r="AR152" s="25">
        <v>11</v>
      </c>
      <c r="AU152" s="5">
        <v>14</v>
      </c>
      <c r="BA152" s="25">
        <v>12</v>
      </c>
      <c r="BD152" s="25">
        <v>16</v>
      </c>
      <c r="BJ152" s="25">
        <v>11</v>
      </c>
      <c r="BM152" s="25">
        <f>20*0.8</f>
        <v>16</v>
      </c>
      <c r="BP152" s="25">
        <v>18</v>
      </c>
    </row>
    <row r="153" spans="8:68" ht="16.05" customHeight="1" x14ac:dyDescent="0.35">
      <c r="H153" s="25">
        <v>10</v>
      </c>
      <c r="N153" s="5">
        <f>9*18/14</f>
        <v>11.571428571428571</v>
      </c>
      <c r="Q153" s="25">
        <v>18</v>
      </c>
      <c r="Z153" s="25">
        <v>14</v>
      </c>
      <c r="AL153" s="25">
        <v>8</v>
      </c>
      <c r="AR153" s="25">
        <v>12</v>
      </c>
      <c r="AU153" s="5">
        <v>14</v>
      </c>
      <c r="BA153" s="25">
        <v>6</v>
      </c>
      <c r="BD153" s="25">
        <v>18</v>
      </c>
      <c r="BJ153" s="25">
        <v>17</v>
      </c>
      <c r="BM153" s="5">
        <f>13*1.2</f>
        <v>15.6</v>
      </c>
      <c r="BP153" s="25">
        <v>21</v>
      </c>
    </row>
    <row r="154" spans="8:68" ht="16.05" customHeight="1" x14ac:dyDescent="0.35">
      <c r="H154" s="25">
        <v>12</v>
      </c>
      <c r="N154" s="25">
        <v>10</v>
      </c>
      <c r="Q154" s="25">
        <v>21</v>
      </c>
      <c r="Z154" s="25">
        <v>18</v>
      </c>
      <c r="AL154" s="25">
        <v>10</v>
      </c>
      <c r="AR154" s="25">
        <v>8</v>
      </c>
      <c r="AU154" s="5">
        <v>14</v>
      </c>
      <c r="BA154" s="5">
        <f>5*18/14</f>
        <v>6.4285714285714288</v>
      </c>
      <c r="BD154" s="25">
        <v>15</v>
      </c>
      <c r="BJ154" s="25">
        <v>18</v>
      </c>
      <c r="BM154" s="4">
        <v>18</v>
      </c>
      <c r="BP154" s="25">
        <v>24</v>
      </c>
    </row>
    <row r="155" spans="8:68" ht="16.05" customHeight="1" x14ac:dyDescent="0.35">
      <c r="H155" s="25">
        <f>15*0.8</f>
        <v>12</v>
      </c>
      <c r="N155" s="25">
        <v>16</v>
      </c>
      <c r="Q155" s="25">
        <v>17</v>
      </c>
      <c r="Z155" s="25">
        <v>15</v>
      </c>
      <c r="AL155" s="25">
        <v>16</v>
      </c>
      <c r="AR155" s="4">
        <v>8</v>
      </c>
      <c r="AU155" s="5">
        <v>15</v>
      </c>
      <c r="BA155" s="25">
        <v>7</v>
      </c>
      <c r="BD155" s="25">
        <v>16</v>
      </c>
      <c r="BJ155" s="25">
        <v>13</v>
      </c>
      <c r="BP155" s="5">
        <f>15*1.1</f>
        <v>16.5</v>
      </c>
    </row>
    <row r="156" spans="8:68" ht="16.05" customHeight="1" x14ac:dyDescent="0.35">
      <c r="H156" s="25">
        <v>14</v>
      </c>
      <c r="N156" s="25">
        <v>15</v>
      </c>
      <c r="Q156" s="25">
        <v>19</v>
      </c>
      <c r="Z156" s="25">
        <v>14</v>
      </c>
      <c r="AL156" s="25">
        <v>14</v>
      </c>
      <c r="AR156" s="4">
        <v>13</v>
      </c>
      <c r="BA156" s="25">
        <v>5</v>
      </c>
      <c r="BD156" s="25">
        <v>18</v>
      </c>
      <c r="BJ156" s="25">
        <v>18</v>
      </c>
      <c r="BP156" s="25">
        <v>21</v>
      </c>
    </row>
    <row r="157" spans="8:68" ht="16.05" customHeight="1" x14ac:dyDescent="0.35">
      <c r="H157" s="5">
        <f>13*1.1</f>
        <v>14.3</v>
      </c>
      <c r="N157" s="25">
        <v>10</v>
      </c>
      <c r="Q157" s="25">
        <v>21</v>
      </c>
      <c r="Z157" s="25">
        <v>17</v>
      </c>
      <c r="AL157" s="25">
        <v>10</v>
      </c>
      <c r="AR157" s="4">
        <v>9</v>
      </c>
      <c r="BA157" s="25">
        <v>12</v>
      </c>
      <c r="BD157" s="25">
        <v>18</v>
      </c>
      <c r="BJ157" s="25">
        <v>18</v>
      </c>
      <c r="BP157" s="5">
        <f>17*1.2</f>
        <v>20.399999999999999</v>
      </c>
    </row>
    <row r="158" spans="8:68" ht="16.05" customHeight="1" x14ac:dyDescent="0.35">
      <c r="H158" s="5">
        <v>12</v>
      </c>
      <c r="N158" s="25">
        <v>12</v>
      </c>
      <c r="Q158" s="25">
        <v>18</v>
      </c>
      <c r="Z158" s="25">
        <v>16</v>
      </c>
      <c r="AL158" s="25">
        <v>14</v>
      </c>
      <c r="AR158" s="4">
        <v>7</v>
      </c>
      <c r="BA158" s="25">
        <v>7</v>
      </c>
      <c r="BD158" s="25">
        <v>15</v>
      </c>
      <c r="BJ158" s="25">
        <v>16</v>
      </c>
      <c r="BP158" s="5">
        <f>21*0.8</f>
        <v>16.8</v>
      </c>
    </row>
    <row r="159" spans="8:68" ht="16.05" customHeight="1" x14ac:dyDescent="0.35">
      <c r="H159" s="5">
        <v>12</v>
      </c>
      <c r="N159" s="25">
        <v>8</v>
      </c>
      <c r="Q159" s="25">
        <v>15</v>
      </c>
      <c r="Z159" s="25">
        <v>16</v>
      </c>
      <c r="AL159" s="25">
        <v>14</v>
      </c>
      <c r="AR159" s="4">
        <v>8</v>
      </c>
      <c r="BA159" s="25">
        <v>4</v>
      </c>
      <c r="BD159" s="25">
        <v>20</v>
      </c>
      <c r="BJ159" s="5">
        <f>13*18/14</f>
        <v>16.714285714285715</v>
      </c>
      <c r="BP159" s="25">
        <v>20</v>
      </c>
    </row>
    <row r="160" spans="8:68" ht="16.05" customHeight="1" x14ac:dyDescent="0.35">
      <c r="H160" s="5">
        <v>9</v>
      </c>
      <c r="N160" s="25">
        <v>12</v>
      </c>
      <c r="Q160" s="25">
        <v>20</v>
      </c>
      <c r="Z160" s="25">
        <v>14</v>
      </c>
      <c r="AL160" s="25">
        <v>12</v>
      </c>
      <c r="AR160" s="4">
        <v>12</v>
      </c>
      <c r="BA160" s="25">
        <v>6</v>
      </c>
      <c r="BD160" s="25">
        <v>21</v>
      </c>
      <c r="BJ160" s="5">
        <f>14*18/14</f>
        <v>18</v>
      </c>
      <c r="BP160" s="25">
        <f>20*1.1</f>
        <v>22</v>
      </c>
    </row>
    <row r="161" spans="8:68" ht="16.05" customHeight="1" x14ac:dyDescent="0.35">
      <c r="H161" s="5">
        <v>8</v>
      </c>
      <c r="N161" s="25">
        <v>13</v>
      </c>
      <c r="Q161" s="25">
        <v>14</v>
      </c>
      <c r="Z161" s="25">
        <v>14</v>
      </c>
      <c r="AL161" s="25">
        <v>20</v>
      </c>
      <c r="AR161" s="4">
        <v>9</v>
      </c>
      <c r="BA161" s="25">
        <v>8</v>
      </c>
      <c r="BD161" s="25">
        <v>16</v>
      </c>
      <c r="BJ161" s="5">
        <f>17*0.9</f>
        <v>15.3</v>
      </c>
      <c r="BP161" s="25">
        <v>17</v>
      </c>
    </row>
    <row r="162" spans="8:68" ht="16.05" customHeight="1" x14ac:dyDescent="0.35">
      <c r="H162" s="5">
        <v>18</v>
      </c>
      <c r="N162" s="25">
        <v>20</v>
      </c>
      <c r="Q162" s="25">
        <v>13</v>
      </c>
      <c r="Z162" s="25">
        <v>15</v>
      </c>
      <c r="AL162" s="5">
        <f>14*0.9</f>
        <v>12.6</v>
      </c>
      <c r="AR162" s="4">
        <v>4</v>
      </c>
      <c r="BA162" s="25">
        <v>11</v>
      </c>
      <c r="BD162" s="25">
        <v>16</v>
      </c>
      <c r="BJ162" s="25">
        <v>16</v>
      </c>
      <c r="BP162" s="5">
        <f>14*18/14</f>
        <v>18</v>
      </c>
    </row>
    <row r="163" spans="8:68" ht="16.05" customHeight="1" x14ac:dyDescent="0.35">
      <c r="H163" s="5">
        <v>9</v>
      </c>
      <c r="N163" s="25">
        <v>16</v>
      </c>
      <c r="Q163" s="25">
        <v>20</v>
      </c>
      <c r="Z163" s="25">
        <v>13</v>
      </c>
      <c r="AL163" s="25">
        <v>19</v>
      </c>
      <c r="AR163" s="4">
        <v>12</v>
      </c>
      <c r="BA163" s="25">
        <v>8</v>
      </c>
      <c r="BD163" s="5">
        <f>18*1.2</f>
        <v>21.599999999999998</v>
      </c>
      <c r="BJ163" s="25">
        <v>16</v>
      </c>
      <c r="BP163" s="5">
        <f>17*0.9</f>
        <v>15.3</v>
      </c>
    </row>
    <row r="164" spans="8:68" ht="16.05" customHeight="1" x14ac:dyDescent="0.35">
      <c r="H164" s="5">
        <f>11*18/14</f>
        <v>14.142857142857142</v>
      </c>
      <c r="N164" s="25">
        <v>24</v>
      </c>
      <c r="Q164" s="25">
        <v>13</v>
      </c>
      <c r="Z164" s="25">
        <v>2</v>
      </c>
      <c r="AL164" s="25">
        <v>15</v>
      </c>
      <c r="AR164" s="4">
        <v>13</v>
      </c>
      <c r="BA164" s="25">
        <v>14</v>
      </c>
      <c r="BD164" s="5">
        <f>17*1.2</f>
        <v>20.399999999999999</v>
      </c>
      <c r="BJ164" s="25">
        <v>17</v>
      </c>
      <c r="BP164" s="25">
        <v>17</v>
      </c>
    </row>
    <row r="165" spans="8:68" ht="16.05" customHeight="1" x14ac:dyDescent="0.35">
      <c r="H165" s="5">
        <f>16*1.1</f>
        <v>17.600000000000001</v>
      </c>
      <c r="N165" s="25">
        <v>20</v>
      </c>
      <c r="Q165" s="25">
        <v>10</v>
      </c>
      <c r="Z165" s="25">
        <v>9</v>
      </c>
      <c r="AL165" s="25">
        <v>21</v>
      </c>
      <c r="AR165" s="4">
        <v>14</v>
      </c>
      <c r="BA165" s="25">
        <v>5</v>
      </c>
      <c r="BD165" s="25">
        <v>20</v>
      </c>
      <c r="BJ165" s="25">
        <v>13</v>
      </c>
      <c r="BP165" s="25">
        <v>21</v>
      </c>
    </row>
    <row r="166" spans="8:68" ht="16.05" customHeight="1" x14ac:dyDescent="0.35">
      <c r="H166" s="5">
        <f>13*1.1</f>
        <v>14.3</v>
      </c>
      <c r="N166" s="25">
        <v>16</v>
      </c>
      <c r="Q166" s="25">
        <v>15</v>
      </c>
      <c r="Z166" s="25">
        <v>21</v>
      </c>
      <c r="AL166" s="25">
        <v>16</v>
      </c>
      <c r="AR166" s="4">
        <v>15</v>
      </c>
      <c r="BA166" s="25">
        <v>10</v>
      </c>
      <c r="BD166" s="5">
        <f>17*1.2</f>
        <v>20.399999999999999</v>
      </c>
      <c r="BJ166" s="25">
        <v>16</v>
      </c>
      <c r="BP166" s="25">
        <v>15</v>
      </c>
    </row>
    <row r="167" spans="8:68" ht="16.05" customHeight="1" x14ac:dyDescent="0.35">
      <c r="H167" s="5">
        <f>14*1.1</f>
        <v>15.400000000000002</v>
      </c>
      <c r="N167" s="25">
        <v>13</v>
      </c>
      <c r="Q167" s="5">
        <f>17*0.8</f>
        <v>13.600000000000001</v>
      </c>
      <c r="Z167" s="25">
        <v>13</v>
      </c>
      <c r="AL167" s="25">
        <v>18</v>
      </c>
      <c r="AR167" s="4">
        <v>14</v>
      </c>
      <c r="BA167" s="25">
        <v>11</v>
      </c>
      <c r="BD167" s="25">
        <v>21</v>
      </c>
      <c r="BJ167" s="25">
        <v>10</v>
      </c>
      <c r="BP167" s="25">
        <v>8</v>
      </c>
    </row>
    <row r="168" spans="8:68" ht="16.05" customHeight="1" x14ac:dyDescent="0.35">
      <c r="H168" s="5">
        <f>9*18/14</f>
        <v>11.571428571428571</v>
      </c>
      <c r="N168" s="25">
        <v>17</v>
      </c>
      <c r="Q168" s="25">
        <v>15</v>
      </c>
      <c r="Z168" s="25">
        <v>8</v>
      </c>
      <c r="AL168" s="25">
        <v>14</v>
      </c>
      <c r="AR168" s="4">
        <v>8</v>
      </c>
      <c r="BA168" s="25">
        <v>4</v>
      </c>
      <c r="BD168" s="5">
        <f>17*1.2</f>
        <v>20.399999999999999</v>
      </c>
      <c r="BJ168" s="25">
        <v>14</v>
      </c>
      <c r="BP168" s="25">
        <v>14</v>
      </c>
    </row>
    <row r="169" spans="8:68" ht="16.05" customHeight="1" x14ac:dyDescent="0.35">
      <c r="H169" s="5">
        <v>12</v>
      </c>
      <c r="N169" s="25">
        <v>11</v>
      </c>
      <c r="Q169" s="4">
        <v>14</v>
      </c>
      <c r="Z169" s="25">
        <v>13</v>
      </c>
      <c r="AL169" s="25">
        <v>19</v>
      </c>
      <c r="AR169" s="4">
        <v>17</v>
      </c>
      <c r="BA169" s="25">
        <v>10</v>
      </c>
      <c r="BD169" s="25">
        <v>18</v>
      </c>
      <c r="BJ169" s="5">
        <f>17*0.8</f>
        <v>13.600000000000001</v>
      </c>
      <c r="BP169" s="25">
        <v>16</v>
      </c>
    </row>
    <row r="170" spans="8:68" ht="16.05" customHeight="1" x14ac:dyDescent="0.35">
      <c r="H170" s="5">
        <v>19</v>
      </c>
      <c r="N170" s="5">
        <f>11*18/14</f>
        <v>14.142857142857142</v>
      </c>
      <c r="Q170" s="4">
        <v>11</v>
      </c>
      <c r="Z170" s="25">
        <v>17</v>
      </c>
      <c r="AL170" s="25">
        <v>18</v>
      </c>
      <c r="AR170" s="4">
        <v>14</v>
      </c>
      <c r="BA170" s="25">
        <v>12</v>
      </c>
      <c r="BD170" s="5">
        <f>16*1.2</f>
        <v>19.2</v>
      </c>
      <c r="BJ170" s="5">
        <f>8*18/14</f>
        <v>10.285714285714286</v>
      </c>
      <c r="BP170" s="25">
        <v>14</v>
      </c>
    </row>
    <row r="171" spans="8:68" ht="16.05" customHeight="1" x14ac:dyDescent="0.35">
      <c r="H171" s="5">
        <v>13</v>
      </c>
      <c r="N171" s="25">
        <v>12</v>
      </c>
      <c r="Q171" s="4">
        <v>19</v>
      </c>
      <c r="Z171" s="25">
        <v>10</v>
      </c>
      <c r="AL171" s="25">
        <v>7</v>
      </c>
      <c r="AR171" s="4">
        <v>18</v>
      </c>
      <c r="BA171" s="25">
        <v>10</v>
      </c>
      <c r="BD171" s="25">
        <f>15*1.2</f>
        <v>18</v>
      </c>
      <c r="BJ171" s="25">
        <v>15</v>
      </c>
      <c r="BP171" s="25">
        <f>15*1.2</f>
        <v>18</v>
      </c>
    </row>
    <row r="172" spans="8:68" ht="16.05" customHeight="1" x14ac:dyDescent="0.35">
      <c r="H172" s="5">
        <v>14</v>
      </c>
      <c r="N172" s="25">
        <v>10</v>
      </c>
      <c r="Q172" s="4">
        <v>12</v>
      </c>
      <c r="Z172" s="25">
        <f>10*1.1</f>
        <v>11</v>
      </c>
      <c r="AL172" s="25">
        <v>16</v>
      </c>
      <c r="AR172" s="4">
        <v>19</v>
      </c>
      <c r="BA172" s="25">
        <v>12</v>
      </c>
      <c r="BD172" s="5">
        <f>13*1.1</f>
        <v>14.3</v>
      </c>
      <c r="BJ172" s="5">
        <v>18</v>
      </c>
      <c r="BP172" s="5">
        <v>18</v>
      </c>
    </row>
    <row r="173" spans="8:68" ht="16.05" customHeight="1" x14ac:dyDescent="0.35">
      <c r="H173" s="5">
        <v>10</v>
      </c>
      <c r="N173" s="25">
        <v>14</v>
      </c>
      <c r="Q173" s="4">
        <v>15</v>
      </c>
      <c r="Z173" s="5">
        <f>8*1.1</f>
        <v>8.8000000000000007</v>
      </c>
      <c r="AL173" s="25">
        <v>17</v>
      </c>
      <c r="AR173" s="4">
        <v>18</v>
      </c>
      <c r="BA173" s="25">
        <v>7</v>
      </c>
      <c r="BD173" s="25">
        <v>16</v>
      </c>
      <c r="BJ173" s="5">
        <v>18</v>
      </c>
      <c r="BP173" s="5">
        <v>11</v>
      </c>
    </row>
    <row r="174" spans="8:68" ht="16.05" customHeight="1" x14ac:dyDescent="0.35">
      <c r="H174" s="5">
        <v>12</v>
      </c>
      <c r="N174" s="25">
        <v>18</v>
      </c>
      <c r="Q174" s="4">
        <v>16</v>
      </c>
      <c r="Z174" s="25">
        <v>10</v>
      </c>
      <c r="AL174" s="25">
        <v>21</v>
      </c>
      <c r="AR174" s="4">
        <v>12</v>
      </c>
      <c r="BA174" s="25">
        <v>10</v>
      </c>
      <c r="BD174" s="5">
        <f>18*1.1</f>
        <v>19.8</v>
      </c>
      <c r="BJ174" s="5">
        <v>16</v>
      </c>
      <c r="BP174" s="5">
        <v>19</v>
      </c>
    </row>
    <row r="175" spans="8:68" ht="16.05" customHeight="1" x14ac:dyDescent="0.35">
      <c r="H175" s="5">
        <v>18</v>
      </c>
      <c r="N175" s="25">
        <v>12</v>
      </c>
      <c r="Q175" s="4">
        <v>20</v>
      </c>
      <c r="Z175" s="5">
        <f>12*1.1</f>
        <v>13.200000000000001</v>
      </c>
      <c r="AL175" s="25">
        <v>20</v>
      </c>
      <c r="BA175" s="25">
        <v>8</v>
      </c>
      <c r="BD175" s="4">
        <v>18</v>
      </c>
      <c r="BJ175" s="5">
        <v>14</v>
      </c>
      <c r="BP175" s="5">
        <v>22</v>
      </c>
    </row>
    <row r="176" spans="8:68" ht="16.05" customHeight="1" x14ac:dyDescent="0.35">
      <c r="H176" s="5">
        <v>17</v>
      </c>
      <c r="N176" s="25">
        <v>15</v>
      </c>
      <c r="Q176" s="4">
        <v>15</v>
      </c>
      <c r="Z176" s="25">
        <v>12</v>
      </c>
      <c r="AL176" s="5">
        <v>12</v>
      </c>
      <c r="BA176" s="25">
        <v>13</v>
      </c>
      <c r="BJ176" s="5">
        <f>11*18/14</f>
        <v>14.142857142857142</v>
      </c>
      <c r="BP176" s="5">
        <v>18</v>
      </c>
    </row>
    <row r="177" spans="8:68" ht="16.05" customHeight="1" x14ac:dyDescent="0.35">
      <c r="H177" s="5">
        <v>12</v>
      </c>
      <c r="N177" s="5">
        <f>18*0.8</f>
        <v>14.4</v>
      </c>
      <c r="Q177" s="4">
        <v>14</v>
      </c>
      <c r="Z177" s="5">
        <f>19*0.8</f>
        <v>15.200000000000001</v>
      </c>
      <c r="AL177" s="5">
        <v>12</v>
      </c>
      <c r="BA177" s="25">
        <v>8</v>
      </c>
      <c r="BJ177" s="5">
        <v>16</v>
      </c>
      <c r="BP177" s="5">
        <f>14*1.2</f>
        <v>16.8</v>
      </c>
    </row>
    <row r="178" spans="8:68" ht="16.05" customHeight="1" x14ac:dyDescent="0.35">
      <c r="N178" s="25">
        <v>12</v>
      </c>
      <c r="Q178" s="4">
        <v>24</v>
      </c>
      <c r="Z178" s="25">
        <v>12</v>
      </c>
      <c r="AL178" s="5">
        <v>19</v>
      </c>
      <c r="BA178" s="5">
        <v>10</v>
      </c>
      <c r="BJ178" s="5">
        <v>11</v>
      </c>
      <c r="BP178" s="5">
        <v>17</v>
      </c>
    </row>
    <row r="179" spans="8:68" ht="16.05" customHeight="1" x14ac:dyDescent="0.35">
      <c r="N179" s="25">
        <v>5</v>
      </c>
      <c r="Q179" s="4">
        <v>19</v>
      </c>
      <c r="Z179" s="25">
        <v>12</v>
      </c>
      <c r="AL179" s="5">
        <v>16</v>
      </c>
      <c r="BA179" s="5">
        <v>6</v>
      </c>
      <c r="BJ179" s="5">
        <v>13</v>
      </c>
      <c r="BP179" s="5">
        <f>17*18/14</f>
        <v>21.857142857142858</v>
      </c>
    </row>
    <row r="180" spans="8:68" ht="16.05" customHeight="1" x14ac:dyDescent="0.35">
      <c r="N180" s="25">
        <f>20*0.8</f>
        <v>16</v>
      </c>
      <c r="Q180" s="4">
        <v>21</v>
      </c>
      <c r="Z180" s="25">
        <v>10</v>
      </c>
      <c r="AL180" s="5">
        <v>13</v>
      </c>
      <c r="BA180" s="25">
        <v>9</v>
      </c>
      <c r="BJ180" s="5">
        <v>16</v>
      </c>
      <c r="BP180" s="5">
        <v>18</v>
      </c>
    </row>
    <row r="181" spans="8:68" ht="16.05" customHeight="1" x14ac:dyDescent="0.35">
      <c r="N181" s="25">
        <v>7</v>
      </c>
      <c r="Q181" s="4">
        <v>14</v>
      </c>
      <c r="Z181" s="25">
        <v>16</v>
      </c>
      <c r="AL181" s="5">
        <v>11</v>
      </c>
      <c r="BA181" s="25">
        <v>7</v>
      </c>
      <c r="BJ181" s="5">
        <v>12</v>
      </c>
      <c r="BP181" s="5">
        <v>15</v>
      </c>
    </row>
    <row r="182" spans="8:68" ht="16.05" customHeight="1" x14ac:dyDescent="0.35">
      <c r="N182" s="25">
        <v>16</v>
      </c>
      <c r="Q182" s="4">
        <v>18</v>
      </c>
      <c r="Z182" s="25">
        <v>15</v>
      </c>
      <c r="AL182" s="5">
        <v>15</v>
      </c>
      <c r="BA182" s="5">
        <f>13*0.8</f>
        <v>10.4</v>
      </c>
      <c r="BJ182" s="5">
        <f>18*18/17</f>
        <v>19.058823529411764</v>
      </c>
      <c r="BP182" s="5">
        <v>18</v>
      </c>
    </row>
    <row r="183" spans="8:68" ht="16.05" customHeight="1" x14ac:dyDescent="0.35">
      <c r="N183" s="25">
        <v>15</v>
      </c>
      <c r="Q183" s="4">
        <v>14</v>
      </c>
      <c r="Z183" s="25">
        <v>17</v>
      </c>
      <c r="AL183" s="5">
        <v>13</v>
      </c>
      <c r="BA183" s="25">
        <v>8</v>
      </c>
      <c r="BJ183" s="5">
        <f>17*18/15</f>
        <v>20.399999999999999</v>
      </c>
      <c r="BP183" s="5">
        <v>21</v>
      </c>
    </row>
    <row r="184" spans="8:68" ht="16.05" customHeight="1" x14ac:dyDescent="0.35">
      <c r="N184" s="25">
        <v>13</v>
      </c>
      <c r="Q184" s="4">
        <v>11</v>
      </c>
      <c r="Z184" s="25">
        <v>13</v>
      </c>
      <c r="AL184" s="5">
        <v>13</v>
      </c>
      <c r="BA184" s="25">
        <v>4</v>
      </c>
      <c r="BJ184" s="5">
        <v>13</v>
      </c>
      <c r="BP184" s="5">
        <f>22*1.1</f>
        <v>24.200000000000003</v>
      </c>
    </row>
    <row r="185" spans="8:68" ht="16.05" customHeight="1" x14ac:dyDescent="0.35">
      <c r="N185" s="25">
        <v>10</v>
      </c>
      <c r="Q185" s="4">
        <f>21*0.8</f>
        <v>16.8</v>
      </c>
      <c r="Z185" s="25">
        <v>11</v>
      </c>
      <c r="AL185" s="5">
        <v>15</v>
      </c>
      <c r="BA185" s="25">
        <v>0</v>
      </c>
      <c r="BJ185" s="5">
        <v>15</v>
      </c>
      <c r="BP185" s="5">
        <f>8*18/14</f>
        <v>10.285714285714286</v>
      </c>
    </row>
    <row r="186" spans="8:68" ht="16.05" customHeight="1" x14ac:dyDescent="0.35">
      <c r="N186" s="25">
        <v>13</v>
      </c>
      <c r="Q186" s="4">
        <v>12</v>
      </c>
      <c r="Z186" s="25">
        <v>16</v>
      </c>
      <c r="AL186" s="5">
        <v>13</v>
      </c>
      <c r="BA186" s="25">
        <v>5</v>
      </c>
      <c r="BJ186" s="5">
        <f>13*18/14</f>
        <v>16.714285714285715</v>
      </c>
      <c r="BP186" s="5">
        <v>13</v>
      </c>
    </row>
    <row r="187" spans="8:68" ht="16.05" customHeight="1" x14ac:dyDescent="0.35">
      <c r="N187" s="25">
        <v>10</v>
      </c>
      <c r="Q187" s="4">
        <v>16</v>
      </c>
      <c r="Z187" s="25">
        <v>18</v>
      </c>
      <c r="AL187" s="5">
        <v>10</v>
      </c>
      <c r="BA187" s="25">
        <v>7</v>
      </c>
      <c r="BJ187" s="5">
        <v>20</v>
      </c>
      <c r="BP187" s="5">
        <v>6</v>
      </c>
    </row>
    <row r="188" spans="8:68" ht="16.05" customHeight="1" x14ac:dyDescent="0.35">
      <c r="N188" s="25">
        <v>13</v>
      </c>
      <c r="Q188" s="4">
        <v>9</v>
      </c>
      <c r="Z188" s="25">
        <v>11</v>
      </c>
      <c r="AL188" s="5">
        <v>13</v>
      </c>
      <c r="BA188" s="25">
        <v>7</v>
      </c>
      <c r="BJ188" s="5">
        <v>9</v>
      </c>
      <c r="BP188" s="5">
        <v>14</v>
      </c>
    </row>
    <row r="189" spans="8:68" ht="16.05" customHeight="1" x14ac:dyDescent="0.35">
      <c r="N189" s="25">
        <v>12</v>
      </c>
      <c r="Z189" s="25">
        <v>13</v>
      </c>
      <c r="AL189" s="5">
        <v>15</v>
      </c>
      <c r="BA189" s="25">
        <v>10</v>
      </c>
      <c r="BJ189" s="5">
        <v>5</v>
      </c>
      <c r="BP189" s="5">
        <v>13</v>
      </c>
    </row>
    <row r="190" spans="8:68" ht="16.05" customHeight="1" x14ac:dyDescent="0.35">
      <c r="N190" s="25">
        <v>12</v>
      </c>
      <c r="Z190" s="25">
        <v>7</v>
      </c>
      <c r="AL190" s="5">
        <v>16</v>
      </c>
      <c r="BA190" s="25">
        <v>7</v>
      </c>
      <c r="BJ190" s="5">
        <v>16</v>
      </c>
      <c r="BP190" s="5">
        <v>16</v>
      </c>
    </row>
    <row r="191" spans="8:68" ht="16.05" customHeight="1" x14ac:dyDescent="0.35">
      <c r="N191" s="25">
        <v>15</v>
      </c>
      <c r="Z191" s="25">
        <v>13</v>
      </c>
      <c r="AL191" s="5">
        <v>17</v>
      </c>
      <c r="BA191" s="25">
        <v>11</v>
      </c>
      <c r="BJ191" s="5">
        <v>17</v>
      </c>
      <c r="BP191" s="5">
        <v>10</v>
      </c>
    </row>
    <row r="192" spans="8:68" ht="16.05" customHeight="1" x14ac:dyDescent="0.35">
      <c r="N192" s="25">
        <v>14</v>
      </c>
      <c r="Z192" s="25">
        <v>12</v>
      </c>
      <c r="AL192" s="5">
        <v>14</v>
      </c>
      <c r="BA192" s="25">
        <v>3</v>
      </c>
    </row>
    <row r="193" spans="14:53" ht="16.05" customHeight="1" x14ac:dyDescent="0.35">
      <c r="N193" s="25">
        <v>10</v>
      </c>
      <c r="Z193" s="25">
        <v>17</v>
      </c>
      <c r="AL193" s="5">
        <v>9</v>
      </c>
      <c r="BA193" s="25">
        <v>6</v>
      </c>
    </row>
    <row r="194" spans="14:53" ht="16.05" customHeight="1" x14ac:dyDescent="0.35">
      <c r="N194" s="25">
        <v>15</v>
      </c>
      <c r="Z194" s="25">
        <v>12</v>
      </c>
      <c r="AL194" s="5">
        <v>14</v>
      </c>
      <c r="BA194" s="25">
        <v>8</v>
      </c>
    </row>
    <row r="195" spans="14:53" ht="16.05" customHeight="1" x14ac:dyDescent="0.35">
      <c r="N195" s="25">
        <v>16</v>
      </c>
      <c r="Z195" s="25">
        <v>17</v>
      </c>
      <c r="AL195" s="5">
        <v>17</v>
      </c>
      <c r="BA195" s="25">
        <v>8</v>
      </c>
    </row>
    <row r="196" spans="14:53" ht="16.05" customHeight="1" x14ac:dyDescent="0.35">
      <c r="N196" s="25">
        <v>17</v>
      </c>
      <c r="Z196" s="25">
        <v>13</v>
      </c>
      <c r="BA196" s="25">
        <v>10</v>
      </c>
    </row>
    <row r="197" spans="14:53" ht="16.05" customHeight="1" x14ac:dyDescent="0.35">
      <c r="N197" s="25">
        <v>13</v>
      </c>
      <c r="Z197" s="25">
        <v>16</v>
      </c>
      <c r="BA197" s="25">
        <v>12</v>
      </c>
    </row>
    <row r="198" spans="14:53" ht="16.05" customHeight="1" x14ac:dyDescent="0.35">
      <c r="N198" s="25">
        <v>13</v>
      </c>
      <c r="Z198" s="25">
        <v>16</v>
      </c>
      <c r="BA198" s="25">
        <v>5</v>
      </c>
    </row>
    <row r="199" spans="14:53" ht="16.05" customHeight="1" x14ac:dyDescent="0.35">
      <c r="N199" s="25">
        <v>13</v>
      </c>
      <c r="Z199" s="25">
        <v>18</v>
      </c>
      <c r="BA199" s="25">
        <v>14</v>
      </c>
    </row>
    <row r="200" spans="14:53" ht="16.05" customHeight="1" x14ac:dyDescent="0.35">
      <c r="N200" s="25">
        <v>9</v>
      </c>
      <c r="Z200" s="25">
        <v>17</v>
      </c>
      <c r="BA200" s="25">
        <v>14</v>
      </c>
    </row>
    <row r="201" spans="14:53" ht="16.05" customHeight="1" x14ac:dyDescent="0.35">
      <c r="N201" s="25">
        <v>15</v>
      </c>
      <c r="Z201" s="5">
        <f>12*18/14</f>
        <v>15.428571428571429</v>
      </c>
      <c r="BA201" s="25">
        <v>6</v>
      </c>
    </row>
    <row r="202" spans="14:53" ht="16.05" customHeight="1" x14ac:dyDescent="0.35">
      <c r="N202" s="25">
        <v>14</v>
      </c>
      <c r="Z202" s="25">
        <v>17</v>
      </c>
      <c r="BA202" s="25">
        <v>5</v>
      </c>
    </row>
    <row r="203" spans="14:53" ht="16.05" customHeight="1" x14ac:dyDescent="0.35">
      <c r="N203" s="25">
        <v>12</v>
      </c>
      <c r="Z203" s="5">
        <f>7*1.2</f>
        <v>8.4</v>
      </c>
      <c r="BA203" s="25">
        <v>6</v>
      </c>
    </row>
    <row r="204" spans="14:53" ht="16.05" customHeight="1" x14ac:dyDescent="0.35">
      <c r="N204" s="25">
        <v>13</v>
      </c>
      <c r="Z204" s="25">
        <v>14</v>
      </c>
      <c r="BA204" s="4">
        <v>7</v>
      </c>
    </row>
    <row r="205" spans="14:53" ht="16.05" customHeight="1" x14ac:dyDescent="0.35">
      <c r="N205" s="25">
        <v>24</v>
      </c>
      <c r="Z205" s="25">
        <v>11</v>
      </c>
      <c r="BA205" s="4">
        <v>8</v>
      </c>
    </row>
    <row r="206" spans="14:53" ht="16.05" customHeight="1" x14ac:dyDescent="0.35">
      <c r="N206" s="25">
        <v>15</v>
      </c>
      <c r="Z206" s="25">
        <v>11</v>
      </c>
      <c r="BA206" s="4">
        <v>8</v>
      </c>
    </row>
    <row r="207" spans="14:53" ht="16.05" customHeight="1" x14ac:dyDescent="0.35">
      <c r="N207" s="25">
        <v>16</v>
      </c>
      <c r="Z207" s="5">
        <f>12*1.1</f>
        <v>13.200000000000001</v>
      </c>
      <c r="BA207" s="4">
        <v>12</v>
      </c>
    </row>
    <row r="208" spans="14:53" ht="16.05" customHeight="1" x14ac:dyDescent="0.35">
      <c r="N208" s="25">
        <v>18</v>
      </c>
      <c r="Z208" s="25">
        <v>17</v>
      </c>
      <c r="BA208" s="4">
        <v>6</v>
      </c>
    </row>
    <row r="209" spans="14:53" ht="16.05" customHeight="1" x14ac:dyDescent="0.35">
      <c r="N209" s="25">
        <v>18</v>
      </c>
      <c r="Z209" s="25">
        <v>11</v>
      </c>
      <c r="BA209" s="4">
        <v>6</v>
      </c>
    </row>
    <row r="210" spans="14:53" ht="16.05" customHeight="1" x14ac:dyDescent="0.35">
      <c r="N210" s="25">
        <v>18</v>
      </c>
      <c r="Z210" s="25">
        <v>20</v>
      </c>
      <c r="BA210" s="4">
        <v>6</v>
      </c>
    </row>
    <row r="211" spans="14:53" ht="16.05" customHeight="1" x14ac:dyDescent="0.35">
      <c r="N211" s="25">
        <v>15</v>
      </c>
      <c r="Z211" s="25">
        <v>11</v>
      </c>
      <c r="BA211" s="4">
        <v>2</v>
      </c>
    </row>
    <row r="212" spans="14:53" ht="16.05" customHeight="1" x14ac:dyDescent="0.35">
      <c r="N212" s="25">
        <v>14</v>
      </c>
      <c r="Z212" s="25">
        <f>10*1.1</f>
        <v>11</v>
      </c>
      <c r="BA212" s="4">
        <v>7</v>
      </c>
    </row>
    <row r="213" spans="14:53" ht="16.05" customHeight="1" x14ac:dyDescent="0.35">
      <c r="N213" s="5">
        <f>13*0.8</f>
        <v>10.4</v>
      </c>
      <c r="Z213" s="5">
        <f>11*18/14</f>
        <v>14.142857142857142</v>
      </c>
      <c r="BA213" s="4">
        <v>2</v>
      </c>
    </row>
    <row r="214" spans="14:53" ht="16.05" customHeight="1" x14ac:dyDescent="0.35">
      <c r="N214" s="25">
        <v>15</v>
      </c>
      <c r="Z214" s="5">
        <v>12</v>
      </c>
      <c r="BA214" s="4">
        <v>6</v>
      </c>
    </row>
    <row r="215" spans="14:53" ht="16.05" customHeight="1" x14ac:dyDescent="0.35">
      <c r="N215" s="25">
        <v>21</v>
      </c>
      <c r="Z215" s="5">
        <v>15</v>
      </c>
      <c r="BA215" s="4">
        <v>11</v>
      </c>
    </row>
    <row r="216" spans="14:53" ht="16.05" customHeight="1" x14ac:dyDescent="0.35">
      <c r="N216" s="5">
        <v>14</v>
      </c>
      <c r="Z216" s="5">
        <v>12</v>
      </c>
      <c r="BA216" s="4">
        <v>8</v>
      </c>
    </row>
    <row r="217" spans="14:53" ht="16.05" customHeight="1" x14ac:dyDescent="0.35">
      <c r="N217" s="5">
        <v>16</v>
      </c>
      <c r="Z217" s="5">
        <v>14</v>
      </c>
      <c r="BA217" s="4">
        <v>10</v>
      </c>
    </row>
    <row r="218" spans="14:53" ht="16.05" customHeight="1" x14ac:dyDescent="0.35">
      <c r="N218" s="5">
        <v>12</v>
      </c>
      <c r="Z218" s="5">
        <v>14</v>
      </c>
      <c r="BA218" s="4">
        <v>7</v>
      </c>
    </row>
    <row r="219" spans="14:53" ht="16.05" customHeight="1" x14ac:dyDescent="0.35">
      <c r="N219" s="5">
        <v>19</v>
      </c>
      <c r="Z219" s="5">
        <v>18</v>
      </c>
      <c r="BA219" s="4">
        <v>10</v>
      </c>
    </row>
    <row r="220" spans="14:53" ht="16.05" customHeight="1" x14ac:dyDescent="0.35">
      <c r="N220" s="5">
        <v>12</v>
      </c>
      <c r="Z220" s="5">
        <v>12</v>
      </c>
      <c r="BA220" s="4">
        <v>8</v>
      </c>
    </row>
    <row r="221" spans="14:53" ht="16.05" customHeight="1" x14ac:dyDescent="0.35">
      <c r="N221" s="5">
        <v>10</v>
      </c>
      <c r="Z221" s="5">
        <v>12</v>
      </c>
      <c r="BA221" s="4">
        <v>8</v>
      </c>
    </row>
    <row r="222" spans="14:53" ht="16.05" customHeight="1" x14ac:dyDescent="0.35">
      <c r="N222" s="5">
        <v>13</v>
      </c>
      <c r="Z222" s="5">
        <v>15</v>
      </c>
      <c r="BA222" s="4">
        <v>5</v>
      </c>
    </row>
    <row r="223" spans="14:53" ht="16.05" customHeight="1" x14ac:dyDescent="0.35">
      <c r="N223" s="5">
        <v>12</v>
      </c>
      <c r="Z223" s="5">
        <v>11</v>
      </c>
      <c r="BA223" s="4">
        <v>8</v>
      </c>
    </row>
    <row r="224" spans="14:53" ht="16.05" customHeight="1" x14ac:dyDescent="0.35">
      <c r="N224" s="5">
        <v>15</v>
      </c>
      <c r="Z224" s="5">
        <v>14</v>
      </c>
    </row>
    <row r="225" spans="14:26" ht="16.05" customHeight="1" x14ac:dyDescent="0.35">
      <c r="N225" s="5">
        <v>19</v>
      </c>
      <c r="Z225" s="5">
        <v>17</v>
      </c>
    </row>
    <row r="226" spans="14:26" ht="16.05" customHeight="1" x14ac:dyDescent="0.35">
      <c r="N226" s="5">
        <v>16</v>
      </c>
      <c r="Z226" s="5">
        <v>15</v>
      </c>
    </row>
    <row r="227" spans="14:26" ht="16.05" customHeight="1" x14ac:dyDescent="0.35">
      <c r="N227" s="5">
        <v>15</v>
      </c>
      <c r="Z227" s="5">
        <f>18*18/17</f>
        <v>19.058823529411764</v>
      </c>
    </row>
    <row r="228" spans="14:26" ht="16.05" customHeight="1" x14ac:dyDescent="0.35">
      <c r="N228" s="5">
        <v>19</v>
      </c>
      <c r="Z228" s="5">
        <v>12</v>
      </c>
    </row>
    <row r="229" spans="14:26" ht="16.05" customHeight="1" x14ac:dyDescent="0.35">
      <c r="N229" s="5">
        <v>15</v>
      </c>
      <c r="Z229" s="5">
        <v>12</v>
      </c>
    </row>
    <row r="230" spans="14:26" ht="16.05" customHeight="1" x14ac:dyDescent="0.35">
      <c r="N230" s="5">
        <v>15</v>
      </c>
      <c r="Z230" s="5">
        <v>12</v>
      </c>
    </row>
    <row r="231" spans="14:26" ht="16.05" customHeight="1" x14ac:dyDescent="0.35">
      <c r="N231" s="5">
        <v>8</v>
      </c>
      <c r="Z231" s="5">
        <v>15</v>
      </c>
    </row>
    <row r="232" spans="14:26" ht="16.05" customHeight="1" x14ac:dyDescent="0.35">
      <c r="N232" s="5">
        <v>14</v>
      </c>
      <c r="Z232" s="5">
        <v>9</v>
      </c>
    </row>
    <row r="233" spans="14:26" ht="16.05" customHeight="1" x14ac:dyDescent="0.35">
      <c r="N233" s="5">
        <v>14</v>
      </c>
      <c r="Z233" s="5">
        <v>13</v>
      </c>
    </row>
    <row r="234" spans="14:26" ht="16.05" customHeight="1" x14ac:dyDescent="0.35">
      <c r="N234" s="5">
        <v>12</v>
      </c>
    </row>
    <row r="235" spans="14:26" ht="16.05" customHeight="1" x14ac:dyDescent="0.35">
      <c r="N235" s="5">
        <v>15</v>
      </c>
    </row>
    <row r="236" spans="14:26" ht="16.05" customHeight="1" x14ac:dyDescent="0.35">
      <c r="N236" s="5">
        <v>15</v>
      </c>
    </row>
    <row r="237" spans="14:26" ht="16.05" customHeight="1" x14ac:dyDescent="0.35"/>
    <row r="238" spans="14:26" ht="16.05" customHeight="1" x14ac:dyDescent="0.35"/>
    <row r="239" spans="14:26" ht="16.05" customHeight="1" x14ac:dyDescent="0.35"/>
    <row r="240" spans="14:26" ht="16.05" customHeight="1" x14ac:dyDescent="0.35"/>
    <row r="241" ht="16.05" customHeight="1" x14ac:dyDescent="0.35"/>
    <row r="242" ht="16.05" customHeight="1" x14ac:dyDescent="0.35"/>
    <row r="243" ht="16.05" customHeight="1" x14ac:dyDescent="0.35"/>
    <row r="244" ht="16.05" customHeight="1" x14ac:dyDescent="0.35"/>
    <row r="245" ht="16.05" customHeight="1" x14ac:dyDescent="0.35"/>
    <row r="246" ht="16.05" customHeight="1" x14ac:dyDescent="0.35"/>
    <row r="247" ht="16.05" customHeight="1" x14ac:dyDescent="0.35"/>
    <row r="248" ht="16.05" customHeight="1" x14ac:dyDescent="0.35"/>
    <row r="249" ht="16.05" customHeight="1" x14ac:dyDescent="0.35"/>
    <row r="250" ht="16.05" customHeight="1" x14ac:dyDescent="0.35"/>
    <row r="251" ht="16.05" customHeight="1" x14ac:dyDescent="0.35"/>
    <row r="252" ht="16.05" customHeight="1" x14ac:dyDescent="0.35"/>
    <row r="253" ht="16.05" customHeight="1" x14ac:dyDescent="0.35"/>
    <row r="254" ht="16.05" customHeight="1" x14ac:dyDescent="0.35"/>
    <row r="255" ht="16.05" customHeight="1" x14ac:dyDescent="0.35"/>
    <row r="256" ht="16.05" customHeight="1" x14ac:dyDescent="0.35"/>
    <row r="257" ht="16.05" customHeight="1" x14ac:dyDescent="0.35"/>
    <row r="258" ht="16.05" customHeight="1" x14ac:dyDescent="0.35"/>
    <row r="259" ht="16.05" customHeight="1" x14ac:dyDescent="0.35"/>
    <row r="260" ht="16.05" customHeight="1" x14ac:dyDescent="0.35"/>
    <row r="261" ht="16.05" customHeight="1" x14ac:dyDescent="0.35"/>
    <row r="262" ht="16.05" customHeight="1" x14ac:dyDescent="0.35"/>
    <row r="263" ht="16.05" customHeight="1" x14ac:dyDescent="0.35"/>
    <row r="264" ht="16.05" customHeight="1" x14ac:dyDescent="0.35"/>
  </sheetData>
  <sortState xmlns:xlrd2="http://schemas.microsoft.com/office/spreadsheetml/2017/richdata2" ref="A3:B23">
    <sortCondition ref="B3:B23"/>
  </sortState>
  <mergeCells count="22">
    <mergeCell ref="AU1:AV1"/>
    <mergeCell ref="AR1:AS1"/>
    <mergeCell ref="AL1:AM1"/>
    <mergeCell ref="N1:O1"/>
    <mergeCell ref="Q1:R1"/>
    <mergeCell ref="W1:X1"/>
    <mergeCell ref="BT1:BU1"/>
    <mergeCell ref="AF1:AG1"/>
    <mergeCell ref="H1:I1"/>
    <mergeCell ref="AC1:AD1"/>
    <mergeCell ref="AX1:AY1"/>
    <mergeCell ref="BP1:BQ1"/>
    <mergeCell ref="BJ1:BK1"/>
    <mergeCell ref="BG1:BH1"/>
    <mergeCell ref="Z1:AA1"/>
    <mergeCell ref="K1:L1"/>
    <mergeCell ref="AO1:AP1"/>
    <mergeCell ref="BA1:BB1"/>
    <mergeCell ref="BD1:BE1"/>
    <mergeCell ref="BM1:BN1"/>
    <mergeCell ref="AI1:AJ1"/>
    <mergeCell ref="T1:U1"/>
  </mergeCells>
  <pageMargins left="0.70866141732283472" right="0.70866141732283472" top="0.74803149606299213" bottom="0.74803149606299213" header="0.31496062992125984" footer="0.31496062992125984"/>
  <pageSetup paperSize="9" scale="15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Amitav Virmani</dc:creator>
  <cp:lastModifiedBy>Luv Shriram</cp:lastModifiedBy>
  <cp:lastPrinted>2023-04-17T14:49:29Z</cp:lastPrinted>
  <dcterms:created xsi:type="dcterms:W3CDTF">2010-06-07T05:21:49Z</dcterms:created>
  <dcterms:modified xsi:type="dcterms:W3CDTF">2026-07-20T12:06:20Z</dcterms:modified>
</cp:coreProperties>
</file>