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1cda9939cbdd8d/Documents/"/>
    </mc:Choice>
  </mc:AlternateContent>
  <xr:revisionPtr revIDLastSave="2303" documentId="14_{60FFE93C-39DB-4A1A-9CCB-C3D643D03366}" xr6:coauthVersionLast="47" xr6:coauthVersionMax="47" xr10:uidLastSave="{6EBBDB9C-CB63-4573-B21B-A454BE5162A6}"/>
  <bookViews>
    <workbookView xWindow="-110" yWindow="-110" windowWidth="22780" windowHeight="14540" xr2:uid="{00000000-000D-0000-FFFF-FFFF00000000}"/>
  </bookViews>
  <sheets>
    <sheet name="Stroking" sheetId="1" r:id="rId1"/>
    <sheet name="Details" sheetId="2" r:id="rId2"/>
  </sheets>
  <definedNames>
    <definedName name="_xlnm._FilterDatabase" localSheetId="0" hidden="1">Stroking!$A$24:$B$43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6" i="2" l="1"/>
  <c r="BH6" i="2" s="1"/>
  <c r="BB6" i="2"/>
  <c r="BB7" i="2"/>
  <c r="BB8" i="2"/>
  <c r="BB9" i="2"/>
  <c r="BB10" i="2"/>
  <c r="BB11" i="2"/>
  <c r="BB12" i="2"/>
  <c r="BB13" i="2"/>
  <c r="BB15" i="2"/>
  <c r="BB16" i="2"/>
  <c r="BB17" i="2"/>
  <c r="BB19" i="2"/>
  <c r="BB20" i="2"/>
  <c r="BB21" i="2"/>
  <c r="BA24" i="2"/>
  <c r="BA25" i="2"/>
  <c r="BB18" i="2" s="1"/>
  <c r="BB25" i="2"/>
  <c r="BB26" i="2"/>
  <c r="BB27" i="2"/>
  <c r="BB28" i="2"/>
  <c r="BB29" i="2"/>
  <c r="BB30" i="2"/>
  <c r="BB31" i="2"/>
  <c r="BB32" i="2"/>
  <c r="BB33" i="2"/>
  <c r="BA44" i="2"/>
  <c r="AL16" i="2"/>
  <c r="AM6" i="2" s="1"/>
  <c r="AM16" i="2"/>
  <c r="AM17" i="2"/>
  <c r="AL18" i="2"/>
  <c r="AM18" i="2" s="1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L41" i="2"/>
  <c r="AM43" i="2"/>
  <c r="AM44" i="2"/>
  <c r="AL47" i="2"/>
  <c r="AM40" i="2" s="1"/>
  <c r="AM47" i="2"/>
  <c r="AM48" i="2"/>
  <c r="AM49" i="2"/>
  <c r="AM50" i="2"/>
  <c r="AM54" i="2"/>
  <c r="AM55" i="2"/>
  <c r="AL62" i="2"/>
  <c r="AM51" i="2" s="1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F42" i="2"/>
  <c r="AG31" i="2" s="1"/>
  <c r="AF43" i="2"/>
  <c r="AG43" i="2" s="1"/>
  <c r="AF44" i="2"/>
  <c r="AF51" i="2"/>
  <c r="AG51" i="2" s="1"/>
  <c r="AG52" i="2"/>
  <c r="AG53" i="2"/>
  <c r="AG54" i="2"/>
  <c r="AG55" i="2"/>
  <c r="AG56" i="2"/>
  <c r="AG57" i="2"/>
  <c r="AG58" i="2"/>
  <c r="AG59" i="2"/>
  <c r="AG60" i="2"/>
  <c r="AG61" i="2"/>
  <c r="AG62" i="2"/>
  <c r="AF72" i="2"/>
  <c r="AG63" i="2" s="1"/>
  <c r="AG72" i="2"/>
  <c r="AG73" i="2"/>
  <c r="AF80" i="2"/>
  <c r="AG74" i="2" s="1"/>
  <c r="AG80" i="2"/>
  <c r="AG81" i="2"/>
  <c r="AG82" i="2"/>
  <c r="AG83" i="2"/>
  <c r="AG84" i="2"/>
  <c r="AF95" i="2"/>
  <c r="AG85" i="2" s="1"/>
  <c r="AG95" i="2"/>
  <c r="AF97" i="2"/>
  <c r="AF103" i="2"/>
  <c r="AG96" i="2" s="1"/>
  <c r="AF104" i="2"/>
  <c r="AG100" i="2" s="1" a="1"/>
  <c r="AG100" i="2" s="1"/>
  <c r="I6" i="2"/>
  <c r="I7" i="2"/>
  <c r="I8" i="2"/>
  <c r="I9" i="2"/>
  <c r="E10" i="2"/>
  <c r="F6" i="2" s="1"/>
  <c r="F10" i="2"/>
  <c r="I10" i="2"/>
  <c r="F11" i="2"/>
  <c r="I11" i="2"/>
  <c r="F12" i="2"/>
  <c r="I12" i="2"/>
  <c r="F13" i="2"/>
  <c r="I13" i="2"/>
  <c r="F14" i="2"/>
  <c r="I14" i="2"/>
  <c r="F15" i="2"/>
  <c r="I15" i="2"/>
  <c r="F16" i="2"/>
  <c r="I16" i="2"/>
  <c r="F17" i="2"/>
  <c r="I17" i="2"/>
  <c r="F18" i="2"/>
  <c r="I18" i="2"/>
  <c r="F19" i="2"/>
  <c r="I19" i="2"/>
  <c r="F20" i="2"/>
  <c r="I20" i="2"/>
  <c r="F21" i="2"/>
  <c r="I21" i="2"/>
  <c r="F22" i="2"/>
  <c r="I22" i="2"/>
  <c r="F23" i="2"/>
  <c r="I23" i="2"/>
  <c r="F24" i="2"/>
  <c r="I24" i="2"/>
  <c r="F25" i="2"/>
  <c r="I25" i="2"/>
  <c r="F26" i="2"/>
  <c r="I26" i="2"/>
  <c r="F27" i="2"/>
  <c r="I27" i="2"/>
  <c r="F28" i="2"/>
  <c r="I28" i="2"/>
  <c r="F29" i="2"/>
  <c r="F30" i="2"/>
  <c r="F31" i="2"/>
  <c r="F32" i="2"/>
  <c r="F33" i="2"/>
  <c r="I33" i="2"/>
  <c r="F34" i="2"/>
  <c r="I34" i="2"/>
  <c r="F35" i="2"/>
  <c r="H39" i="2"/>
  <c r="I29" i="2" s="1"/>
  <c r="I39" i="2"/>
  <c r="I40" i="2"/>
  <c r="I41" i="2"/>
  <c r="I42" i="2"/>
  <c r="I43" i="2"/>
  <c r="I44" i="2"/>
  <c r="I45" i="2"/>
  <c r="E46" i="2"/>
  <c r="F41" i="2" s="1"/>
  <c r="F46" i="2"/>
  <c r="I46" i="2"/>
  <c r="I47" i="2"/>
  <c r="I48" i="2"/>
  <c r="I49" i="2"/>
  <c r="I50" i="2"/>
  <c r="E51" i="2"/>
  <c r="F49" i="2" s="1"/>
  <c r="I51" i="2"/>
  <c r="I52" i="2"/>
  <c r="I53" i="2"/>
  <c r="E54" i="2"/>
  <c r="F52" i="2" s="1"/>
  <c r="I55" i="2"/>
  <c r="E59" i="2"/>
  <c r="F59" i="2" s="1"/>
  <c r="F60" i="2"/>
  <c r="F61" i="2"/>
  <c r="F62" i="2"/>
  <c r="F63" i="2"/>
  <c r="F64" i="2"/>
  <c r="F65" i="2"/>
  <c r="F66" i="2"/>
  <c r="F67" i="2"/>
  <c r="F68" i="2"/>
  <c r="F69" i="2"/>
  <c r="F70" i="2"/>
  <c r="E81" i="2"/>
  <c r="F71" i="2" s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8" i="2"/>
  <c r="L41" i="2"/>
  <c r="K46" i="2"/>
  <c r="L42" i="2" s="1"/>
  <c r="K48" i="2"/>
  <c r="L37" i="2" s="1"/>
  <c r="K50" i="2"/>
  <c r="L48" i="2" s="1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1" i="2"/>
  <c r="L72" i="2"/>
  <c r="L73" i="2"/>
  <c r="L74" i="2"/>
  <c r="K81" i="2"/>
  <c r="L75" i="2" s="1"/>
  <c r="K83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52" i="2"/>
  <c r="AV53" i="2"/>
  <c r="AU58" i="2"/>
  <c r="AV54" i="2" s="1"/>
  <c r="AU64" i="2"/>
  <c r="AV64" i="2" s="1"/>
  <c r="AV65" i="2"/>
  <c r="AV66" i="2"/>
  <c r="AV67" i="2"/>
  <c r="AV68" i="2"/>
  <c r="AV69" i="2"/>
  <c r="AV70" i="2"/>
  <c r="AV71" i="2"/>
  <c r="AV72" i="2"/>
  <c r="AV73" i="2"/>
  <c r="AV74" i="2"/>
  <c r="AV75" i="2"/>
  <c r="AV81" i="2"/>
  <c r="AU87" i="2"/>
  <c r="AV76" i="2" s="1"/>
  <c r="AU88" i="2"/>
  <c r="AU89" i="2"/>
  <c r="AU90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4" i="2"/>
  <c r="C36" i="2"/>
  <c r="C37" i="2"/>
  <c r="C40" i="2"/>
  <c r="B43" i="2"/>
  <c r="C33" i="2" s="1"/>
  <c r="B52" i="2"/>
  <c r="C43" i="2" s="1"/>
  <c r="C53" i="2"/>
  <c r="C54" i="2"/>
  <c r="C55" i="2"/>
  <c r="C56" i="2"/>
  <c r="C57" i="2"/>
  <c r="C58" i="2"/>
  <c r="C59" i="2"/>
  <c r="C60" i="2"/>
  <c r="C62" i="2"/>
  <c r="C63" i="2"/>
  <c r="C64" i="2"/>
  <c r="C66" i="2"/>
  <c r="C67" i="2"/>
  <c r="B71" i="2"/>
  <c r="C65" i="2" s="1"/>
  <c r="C6" i="2"/>
  <c r="AI7" i="2"/>
  <c r="AI14" i="2"/>
  <c r="AJ6" i="2" s="1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D56" i="2"/>
  <c r="BE54" i="2" s="1"/>
  <c r="BD60" i="2"/>
  <c r="BE57" i="2" s="1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90" i="2"/>
  <c r="BD92" i="2"/>
  <c r="BE88" i="2" s="1"/>
  <c r="BD93" i="2"/>
  <c r="BD94" i="2"/>
  <c r="BD95" i="2"/>
  <c r="BE93" i="2" s="1"/>
  <c r="BD96" i="2"/>
  <c r="BD97" i="2"/>
  <c r="BD98" i="2"/>
  <c r="BD99" i="2"/>
  <c r="AP6" i="2"/>
  <c r="AP7" i="2"/>
  <c r="AP9" i="2"/>
  <c r="AP13" i="2"/>
  <c r="AP14" i="2"/>
  <c r="AP15" i="2"/>
  <c r="AP16" i="2"/>
  <c r="AP17" i="2"/>
  <c r="AO18" i="2"/>
  <c r="AP10" i="2" s="1"/>
  <c r="AO19" i="2"/>
  <c r="AP18" i="2" s="1"/>
  <c r="AP19" i="2"/>
  <c r="AP20" i="2"/>
  <c r="AO27" i="2"/>
  <c r="AO28" i="2"/>
  <c r="R6" i="2"/>
  <c r="R7" i="2"/>
  <c r="Q8" i="2"/>
  <c r="R8" i="2"/>
  <c r="R9" i="2"/>
  <c r="R10" i="2"/>
  <c r="R11" i="2"/>
  <c r="R12" i="2"/>
  <c r="R13" i="2"/>
  <c r="R15" i="2"/>
  <c r="R16" i="2"/>
  <c r="Q24" i="2"/>
  <c r="R17" i="2" s="1"/>
  <c r="Q25" i="2"/>
  <c r="R24" i="2" s="1"/>
  <c r="R25" i="2"/>
  <c r="R26" i="2"/>
  <c r="R28" i="2"/>
  <c r="R30" i="2"/>
  <c r="Q36" i="2"/>
  <c r="R27" i="2" s="1"/>
  <c r="BF3" i="2"/>
  <c r="B38" i="1" s="1"/>
  <c r="BC3" i="2"/>
  <c r="AZ3" i="2"/>
  <c r="B42" i="1" s="1"/>
  <c r="AT3" i="2"/>
  <c r="B37" i="1" s="1"/>
  <c r="AQ3" i="2"/>
  <c r="AN3" i="2"/>
  <c r="B31" i="1" s="1"/>
  <c r="AK3" i="2"/>
  <c r="AH3" i="2"/>
  <c r="B32" i="1" s="1"/>
  <c r="AE3" i="2"/>
  <c r="B28" i="1" s="1"/>
  <c r="AB3" i="2"/>
  <c r="Y3" i="2"/>
  <c r="V3" i="2"/>
  <c r="S3" i="2"/>
  <c r="P3" i="2"/>
  <c r="B43" i="1" s="1"/>
  <c r="M3" i="2"/>
  <c r="J3" i="2"/>
  <c r="B27" i="1" s="1"/>
  <c r="G3" i="2"/>
  <c r="B26" i="1" s="1"/>
  <c r="D3" i="2"/>
  <c r="B40" i="1" s="1"/>
  <c r="A3" i="2"/>
  <c r="B33" i="1" s="1"/>
  <c r="AG6" i="2"/>
  <c r="X8" i="2"/>
  <c r="AA8" i="2"/>
  <c r="X9" i="2"/>
  <c r="AA9" i="2"/>
  <c r="X10" i="2"/>
  <c r="AA10" i="2"/>
  <c r="X11" i="2"/>
  <c r="AA11" i="2"/>
  <c r="X12" i="2"/>
  <c r="AA12" i="2"/>
  <c r="X13" i="2"/>
  <c r="AA13" i="2"/>
  <c r="X14" i="2"/>
  <c r="AA14" i="2"/>
  <c r="X15" i="2"/>
  <c r="AA15" i="2"/>
  <c r="X16" i="2"/>
  <c r="AA16" i="2"/>
  <c r="X17" i="2"/>
  <c r="AA17" i="2"/>
  <c r="X18" i="2"/>
  <c r="AA18" i="2"/>
  <c r="X19" i="2"/>
  <c r="AA19" i="2"/>
  <c r="X20" i="2"/>
  <c r="AA20" i="2"/>
  <c r="X21" i="2"/>
  <c r="X22" i="2"/>
  <c r="AA22" i="2"/>
  <c r="X23" i="2"/>
  <c r="AA23" i="2"/>
  <c r="X24" i="2"/>
  <c r="X25" i="2"/>
  <c r="AA25" i="2"/>
  <c r="X26" i="2"/>
  <c r="X27" i="2"/>
  <c r="X28" i="2"/>
  <c r="AA28" i="2"/>
  <c r="AA29" i="2"/>
  <c r="Z32" i="2"/>
  <c r="AA26" i="2" s="1"/>
  <c r="Z33" i="2"/>
  <c r="AA34" i="2"/>
  <c r="W40" i="2"/>
  <c r="X32" i="2" s="1"/>
  <c r="X40" i="2"/>
  <c r="X41" i="2"/>
  <c r="Z42" i="2"/>
  <c r="AA42" i="2" s="1"/>
  <c r="AA43" i="2"/>
  <c r="AA44" i="2"/>
  <c r="AA45" i="2"/>
  <c r="AA46" i="2"/>
  <c r="AA47" i="2"/>
  <c r="AA48" i="2"/>
  <c r="AA49" i="2"/>
  <c r="Z61" i="2"/>
  <c r="AA54" i="2" s="1"/>
  <c r="Z62" i="2"/>
  <c r="Z63" i="2"/>
  <c r="O6" i="2"/>
  <c r="O7" i="2"/>
  <c r="O8" i="2"/>
  <c r="O9" i="2"/>
  <c r="O10" i="2"/>
  <c r="O11" i="2"/>
  <c r="O12" i="2"/>
  <c r="O13" i="2"/>
  <c r="O14" i="2"/>
  <c r="O15" i="2"/>
  <c r="O16" i="2"/>
  <c r="O17" i="2"/>
  <c r="O23" i="2"/>
  <c r="O24" i="2"/>
  <c r="N29" i="2"/>
  <c r="O18" i="2" s="1"/>
  <c r="O29" i="2"/>
  <c r="N30" i="2"/>
  <c r="O20" i="2" s="1"/>
  <c r="N32" i="2"/>
  <c r="O31" i="2" s="1"/>
  <c r="O32" i="2"/>
  <c r="O33" i="2"/>
  <c r="N34" i="2"/>
  <c r="O34" i="2" s="1"/>
  <c r="N45" i="2"/>
  <c r="O38" i="2" s="1"/>
  <c r="N46" i="2"/>
  <c r="N47" i="2"/>
  <c r="AG5" i="2"/>
  <c r="AG3" i="2" s="1"/>
  <c r="B4" i="1" s="1"/>
  <c r="X6" i="2"/>
  <c r="X7" i="2"/>
  <c r="AA7" i="2"/>
  <c r="AA6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R53" i="2"/>
  <c r="AS42" i="2"/>
  <c r="BE5" i="2"/>
  <c r="BE3" i="2" s="1"/>
  <c r="B16" i="1" s="1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Y16" i="2"/>
  <c r="AY17" i="2"/>
  <c r="AY18" i="2"/>
  <c r="AY19" i="2"/>
  <c r="AY20" i="2"/>
  <c r="AY21" i="2"/>
  <c r="U6" i="2"/>
  <c r="U7" i="2"/>
  <c r="U8" i="2"/>
  <c r="U9" i="2"/>
  <c r="U10" i="2"/>
  <c r="U11" i="2"/>
  <c r="T23" i="2"/>
  <c r="T29" i="2"/>
  <c r="C52" i="1"/>
  <c r="C53" i="1" s="1"/>
  <c r="B39" i="1"/>
  <c r="B34" i="1"/>
  <c r="B41" i="1"/>
  <c r="B25" i="1"/>
  <c r="X5" i="2"/>
  <c r="X3" i="2" s="1"/>
  <c r="B7" i="1" s="1"/>
  <c r="B35" i="1"/>
  <c r="B36" i="1"/>
  <c r="B30" i="1"/>
  <c r="B29" i="1"/>
  <c r="AD5" i="2"/>
  <c r="AD3" i="2"/>
  <c r="B6" i="1"/>
  <c r="R5" i="2"/>
  <c r="R3" i="2" s="1"/>
  <c r="B14" i="1" s="1"/>
  <c r="AV5" i="2"/>
  <c r="AV3" i="2" s="1"/>
  <c r="B12" i="1" s="1"/>
  <c r="A38" i="1"/>
  <c r="A17" i="1"/>
  <c r="AW3" i="2"/>
  <c r="A39" i="1"/>
  <c r="A16" i="1"/>
  <c r="A8" i="1"/>
  <c r="AY3" i="2"/>
  <c r="A37" i="1"/>
  <c r="A35" i="1"/>
  <c r="A12" i="1"/>
  <c r="A13" i="1"/>
  <c r="BF109" i="1"/>
  <c r="BF108" i="1"/>
  <c r="BC109" i="1"/>
  <c r="BC108" i="1"/>
  <c r="AZ109" i="1"/>
  <c r="AZ108" i="1"/>
  <c r="AW109" i="1"/>
  <c r="AW108" i="1"/>
  <c r="AT109" i="1"/>
  <c r="AT108" i="1"/>
  <c r="AQ109" i="1"/>
  <c r="AQ108" i="1"/>
  <c r="AN109" i="1"/>
  <c r="AN108" i="1"/>
  <c r="AK109" i="1"/>
  <c r="AK108" i="1"/>
  <c r="AH109" i="1"/>
  <c r="AH108" i="1"/>
  <c r="AE109" i="1"/>
  <c r="AE108" i="1"/>
  <c r="AB109" i="1"/>
  <c r="AB108" i="1"/>
  <c r="Y109" i="1"/>
  <c r="Y108" i="1"/>
  <c r="V109" i="1"/>
  <c r="V108" i="1"/>
  <c r="S109" i="1"/>
  <c r="S108" i="1"/>
  <c r="A9" i="1"/>
  <c r="A34" i="1"/>
  <c r="A32" i="1"/>
  <c r="A18" i="1"/>
  <c r="A10" i="1"/>
  <c r="A28" i="1"/>
  <c r="A11" i="1"/>
  <c r="A15" i="1"/>
  <c r="A7" i="1"/>
  <c r="A2" i="1"/>
  <c r="A3" i="1"/>
  <c r="A4" i="1"/>
  <c r="A20" i="1"/>
  <c r="A41" i="1"/>
  <c r="A36" i="1"/>
  <c r="A6" i="1"/>
  <c r="A14" i="1"/>
  <c r="A5" i="1"/>
  <c r="A19" i="1"/>
  <c r="A26" i="1"/>
  <c r="A43" i="1"/>
  <c r="A33" i="1"/>
  <c r="A29" i="1"/>
  <c r="A40" i="1"/>
  <c r="A25" i="1"/>
  <c r="A27" i="1"/>
  <c r="A30" i="1"/>
  <c r="AS5" i="2"/>
  <c r="AS3" i="2"/>
  <c r="B13" i="1"/>
  <c r="U5" i="2"/>
  <c r="U3" i="2"/>
  <c r="B19" i="1"/>
  <c r="I5" i="2"/>
  <c r="I3" i="2" s="1"/>
  <c r="B2" i="1" s="1"/>
  <c r="L5" i="2"/>
  <c r="L3" i="2" s="1"/>
  <c r="B11" i="1" s="1"/>
  <c r="F5" i="2"/>
  <c r="F3" i="2" s="1"/>
  <c r="B5" i="1" s="1"/>
  <c r="BH5" i="2"/>
  <c r="BH3" i="2" s="1"/>
  <c r="B17" i="1" s="1"/>
  <c r="AP5" i="2"/>
  <c r="AP3" i="2" s="1"/>
  <c r="B9" i="1" s="1"/>
  <c r="U14" i="2"/>
  <c r="U12" i="2"/>
  <c r="U16" i="2"/>
  <c r="U18" i="2"/>
  <c r="U17" i="2"/>
  <c r="U15" i="2"/>
  <c r="U13" i="2"/>
  <c r="O5" i="2"/>
  <c r="O3" i="2" s="1"/>
  <c r="B15" i="1" s="1"/>
  <c r="AA5" i="2"/>
  <c r="AA3" i="2" s="1"/>
  <c r="B20" i="1" s="1"/>
  <c r="BB5" i="2"/>
  <c r="BB3" i="2" s="1"/>
  <c r="B8" i="1" s="1"/>
  <c r="C5" i="2"/>
  <c r="C3" i="2" s="1"/>
  <c r="B3" i="1" s="1"/>
  <c r="BH11" i="2" l="1"/>
  <c r="BH10" i="2"/>
  <c r="BH9" i="2"/>
  <c r="BH8" i="2"/>
  <c r="BH7" i="2"/>
  <c r="BB14" i="2"/>
  <c r="BB23" i="2"/>
  <c r="BB24" i="2"/>
  <c r="BB22" i="2"/>
  <c r="AM15" i="2"/>
  <c r="AM14" i="2"/>
  <c r="AM46" i="2"/>
  <c r="AM13" i="2"/>
  <c r="AM45" i="2"/>
  <c r="AM12" i="2"/>
  <c r="AM10" i="2"/>
  <c r="AM53" i="2"/>
  <c r="AM42" i="2"/>
  <c r="AM9" i="2"/>
  <c r="AM52" i="2"/>
  <c r="AM41" i="2"/>
  <c r="AM8" i="2"/>
  <c r="AM7" i="2"/>
  <c r="AM11" i="2"/>
  <c r="AG94" i="2"/>
  <c r="AG71" i="2"/>
  <c r="AG50" i="2"/>
  <c r="AG69" i="2"/>
  <c r="AG46" i="2"/>
  <c r="AG37" i="2"/>
  <c r="AG90" i="2"/>
  <c r="AG79" i="2"/>
  <c r="AG89" i="2"/>
  <c r="AG67" i="2"/>
  <c r="AG77" i="2"/>
  <c r="AG97" i="2"/>
  <c r="AG87" i="2"/>
  <c r="AG76" i="2"/>
  <c r="AG65" i="2"/>
  <c r="AG33" i="2"/>
  <c r="AG40" i="2"/>
  <c r="AG93" i="2"/>
  <c r="AG48" i="2"/>
  <c r="AG70" i="2"/>
  <c r="AG47" i="2"/>
  <c r="AG68" i="2"/>
  <c r="AG45" i="2"/>
  <c r="AG36" i="2"/>
  <c r="AG99" i="2"/>
  <c r="AG78" i="2"/>
  <c r="AG44" i="2"/>
  <c r="AG35" i="2"/>
  <c r="AG88" i="2"/>
  <c r="AG34" i="2"/>
  <c r="AG86" i="2"/>
  <c r="AG75" i="2"/>
  <c r="AG64" i="2"/>
  <c r="AG32" i="2"/>
  <c r="AG41" i="2"/>
  <c r="AG49" i="2"/>
  <c r="AG39" i="2"/>
  <c r="AG101" i="2"/>
  <c r="AG92" i="2"/>
  <c r="AG38" i="2"/>
  <c r="AG91" i="2"/>
  <c r="AG98" i="2"/>
  <c r="AG66" i="2"/>
  <c r="AG42" i="2"/>
  <c r="F57" i="2"/>
  <c r="F45" i="2"/>
  <c r="F50" i="2"/>
  <c r="F39" i="2"/>
  <c r="I32" i="2"/>
  <c r="F9" i="2"/>
  <c r="F75" i="2"/>
  <c r="I31" i="2"/>
  <c r="F73" i="2"/>
  <c r="F53" i="2"/>
  <c r="F42" i="2"/>
  <c r="I36" i="2"/>
  <c r="I30" i="2"/>
  <c r="F7" i="2"/>
  <c r="F58" i="2"/>
  <c r="F77" i="2"/>
  <c r="F55" i="2"/>
  <c r="F44" i="2"/>
  <c r="F76" i="2"/>
  <c r="F54" i="2"/>
  <c r="I37" i="2"/>
  <c r="F8" i="2"/>
  <c r="F48" i="2"/>
  <c r="F72" i="2"/>
  <c r="F47" i="2"/>
  <c r="F36" i="2"/>
  <c r="F51" i="2"/>
  <c r="F40" i="2"/>
  <c r="F56" i="2"/>
  <c r="I38" i="2"/>
  <c r="F38" i="2"/>
  <c r="F43" i="2"/>
  <c r="F74" i="2"/>
  <c r="F37" i="2"/>
  <c r="I35" i="2"/>
  <c r="L70" i="2"/>
  <c r="L40" i="2"/>
  <c r="L49" i="2"/>
  <c r="L47" i="2"/>
  <c r="L46" i="2"/>
  <c r="L45" i="2"/>
  <c r="L77" i="2"/>
  <c r="L44" i="2"/>
  <c r="L39" i="2"/>
  <c r="L76" i="2"/>
  <c r="L43" i="2"/>
  <c r="AV62" i="2"/>
  <c r="AV84" i="2"/>
  <c r="AV61" i="2"/>
  <c r="AV50" i="2"/>
  <c r="AV63" i="2"/>
  <c r="AV85" i="2"/>
  <c r="AV83" i="2"/>
  <c r="AV60" i="2"/>
  <c r="AV49" i="2"/>
  <c r="AV51" i="2"/>
  <c r="AV82" i="2"/>
  <c r="AV59" i="2"/>
  <c r="AV48" i="2"/>
  <c r="AV79" i="2"/>
  <c r="AV57" i="2"/>
  <c r="AV78" i="2"/>
  <c r="AV56" i="2"/>
  <c r="AV58" i="2"/>
  <c r="AV77" i="2"/>
  <c r="AV55" i="2"/>
  <c r="AV80" i="2"/>
  <c r="C52" i="2"/>
  <c r="C42" i="2"/>
  <c r="C41" i="2"/>
  <c r="C51" i="2"/>
  <c r="C61" i="2"/>
  <c r="C50" i="2"/>
  <c r="C39" i="2"/>
  <c r="C38" i="2"/>
  <c r="C48" i="2"/>
  <c r="C47" i="2"/>
  <c r="C46" i="2"/>
  <c r="C35" i="2"/>
  <c r="C45" i="2"/>
  <c r="C44" i="2"/>
  <c r="C49" i="2"/>
  <c r="AJ12" i="2"/>
  <c r="AJ10" i="2"/>
  <c r="AJ9" i="2"/>
  <c r="AJ13" i="2"/>
  <c r="AJ5" i="2"/>
  <c r="AJ3" i="2" s="1"/>
  <c r="B10" i="1" s="1"/>
  <c r="C10" i="1" s="1"/>
  <c r="AJ8" i="2"/>
  <c r="AJ7" i="2"/>
  <c r="AJ11" i="2"/>
  <c r="BE87" i="2"/>
  <c r="BE53" i="2"/>
  <c r="BE86" i="2"/>
  <c r="BE52" i="2"/>
  <c r="BE94" i="2"/>
  <c r="BE85" i="2"/>
  <c r="BE51" i="2"/>
  <c r="BE84" i="2"/>
  <c r="BE60" i="2"/>
  <c r="BE50" i="2"/>
  <c r="BE83" i="2"/>
  <c r="BE49" i="2"/>
  <c r="BE82" i="2"/>
  <c r="BE59" i="2"/>
  <c r="BE48" i="2"/>
  <c r="BE92" i="2"/>
  <c r="BE81" i="2"/>
  <c r="BE58" i="2"/>
  <c r="BE47" i="2"/>
  <c r="BE46" i="2"/>
  <c r="BE91" i="2"/>
  <c r="BE56" i="2"/>
  <c r="BE45" i="2"/>
  <c r="BE89" i="2"/>
  <c r="BE55" i="2"/>
  <c r="AP12" i="2"/>
  <c r="AP11" i="2"/>
  <c r="AP8" i="2"/>
  <c r="R14" i="2"/>
  <c r="R22" i="2"/>
  <c r="R21" i="2"/>
  <c r="R29" i="2"/>
  <c r="R19" i="2"/>
  <c r="R18" i="2"/>
  <c r="R23" i="2"/>
  <c r="R20" i="2"/>
  <c r="AA53" i="2"/>
  <c r="AA36" i="2"/>
  <c r="AA31" i="2"/>
  <c r="X36" i="2"/>
  <c r="AA52" i="2"/>
  <c r="AA41" i="2"/>
  <c r="X31" i="2"/>
  <c r="AA51" i="2"/>
  <c r="AA35" i="2"/>
  <c r="AA30" i="2"/>
  <c r="AA24" i="2"/>
  <c r="X34" i="2"/>
  <c r="AA50" i="2"/>
  <c r="AA40" i="2"/>
  <c r="X35" i="2"/>
  <c r="X30" i="2"/>
  <c r="AA58" i="2"/>
  <c r="X39" i="2"/>
  <c r="AA57" i="2"/>
  <c r="AA38" i="2"/>
  <c r="X33" i="2"/>
  <c r="AA27" i="2"/>
  <c r="AA21" i="2"/>
  <c r="AA39" i="2"/>
  <c r="AA56" i="2"/>
  <c r="X38" i="2"/>
  <c r="AA32" i="2"/>
  <c r="AA55" i="2"/>
  <c r="AA37" i="2"/>
  <c r="X29" i="2"/>
  <c r="AA33" i="2"/>
  <c r="X37" i="2"/>
  <c r="AM5" i="2"/>
  <c r="AM3" i="2" s="1"/>
  <c r="B18" i="1" s="1"/>
  <c r="C18" i="1" s="1"/>
  <c r="O37" i="2"/>
  <c r="O36" i="2"/>
  <c r="O28" i="2"/>
  <c r="O35" i="2"/>
  <c r="O27" i="2"/>
  <c r="O26" i="2"/>
  <c r="O25" i="2"/>
  <c r="O42" i="2"/>
  <c r="O22" i="2"/>
  <c r="O41" i="2"/>
  <c r="O21" i="2"/>
  <c r="O40" i="2"/>
  <c r="O30" i="2"/>
  <c r="O39" i="2"/>
  <c r="O19" i="2"/>
  <c r="C9" i="1"/>
  <c r="C13" i="1"/>
  <c r="C7" i="1"/>
  <c r="C8" i="1"/>
  <c r="C4" i="1"/>
  <c r="C19" i="1"/>
  <c r="C14" i="1"/>
  <c r="C16" i="1"/>
  <c r="C17" i="1"/>
  <c r="C6" i="1"/>
  <c r="C2" i="1"/>
  <c r="C15" i="1"/>
  <c r="C20" i="1"/>
  <c r="C12" i="1"/>
  <c r="C5" i="1"/>
  <c r="C3" i="1"/>
  <c r="C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tc={8DBAACA2-923A-4578-A026-41373B2474FB}</author>
    <author>Harsh Gupta</author>
  </authors>
  <commentList>
    <comment ref="H62" authorId="0" shapeId="0" xr:uid="{8DBAACA2-923A-4578-A026-41373B2474FB}">
      <text>
        <t>[Threaded comment]
Your version of Excel allows you to read this threaded comment; however, any edits to it will get removed if the file is opened in a newer version of Excel. Learn more: https://go.microsoft.com/fwlink/?linkid=870924
Comment:
    1 over at dlf</t>
      </text>
    </comment>
    <comment ref="AF87" authorId="1" shapeId="0" xr:uid="{4C766231-53A4-4CD5-AA50-A8EB4CF7CBEB}">
      <text>
        <r>
          <rPr>
            <b/>
            <sz val="9"/>
            <color indexed="81"/>
            <rFont val="Tahoma"/>
            <family val="2"/>
          </rPr>
          <t>Harsh Gupta:</t>
        </r>
        <r>
          <rPr>
            <sz val="9"/>
            <color indexed="81"/>
            <rFont val="Tahoma"/>
            <family val="2"/>
          </rPr>
          <t xml:space="preserve">
Wentworth East +1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<sst xmlns="http://schemas.openxmlformats.org/spreadsheetml/2006/main" count="214" uniqueCount="87">
  <si>
    <t/>
  </si>
  <si>
    <t>Money</t>
  </si>
  <si>
    <t>Player</t>
  </si>
  <si>
    <t>Handicap</t>
  </si>
  <si>
    <t>Strokes</t>
  </si>
  <si>
    <t>Ave</t>
  </si>
  <si>
    <t>Score</t>
  </si>
  <si>
    <t>Poky</t>
  </si>
  <si>
    <t>Nutty</t>
  </si>
  <si>
    <t>Tav</t>
  </si>
  <si>
    <t>Kartik</t>
  </si>
  <si>
    <t>Ashu</t>
  </si>
  <si>
    <t>Boozy</t>
  </si>
  <si>
    <t>PK</t>
  </si>
  <si>
    <t>AC</t>
  </si>
  <si>
    <t>Raul</t>
  </si>
  <si>
    <t>Atul</t>
  </si>
  <si>
    <t>Tarun</t>
  </si>
  <si>
    <t>Order Of Merit</t>
  </si>
  <si>
    <t>JV</t>
  </si>
  <si>
    <t>Chauds</t>
  </si>
  <si>
    <t>Gags</t>
  </si>
  <si>
    <t>Luvy</t>
  </si>
  <si>
    <t>Bharat</t>
  </si>
  <si>
    <t>Formula for adjusting scores at non Delhi courses</t>
  </si>
  <si>
    <t>Actual Score</t>
  </si>
  <si>
    <t>Course Rating</t>
  </si>
  <si>
    <t>Slope Rating</t>
  </si>
  <si>
    <t>Rounded</t>
  </si>
  <si>
    <t>Adjusted Handicap</t>
  </si>
  <si>
    <t>DGC Slope Rating</t>
  </si>
  <si>
    <t>dlf (blue)</t>
  </si>
  <si>
    <t>dlf (white</t>
  </si>
  <si>
    <t>oxford pune</t>
  </si>
  <si>
    <t>prestige</t>
  </si>
  <si>
    <t>dgc blacks</t>
  </si>
  <si>
    <t>itc gold</t>
  </si>
  <si>
    <t>adjusted up by 10% (minimum one stroke)</t>
  </si>
  <si>
    <t>adjusted down by 20% (minimum 2 strokes)</t>
  </si>
  <si>
    <t>DP</t>
  </si>
  <si>
    <t>Bery</t>
  </si>
  <si>
    <t>Ashu J</t>
  </si>
  <si>
    <t>lado blues</t>
  </si>
  <si>
    <t>lado blacks</t>
  </si>
  <si>
    <t>Wentworth West White Tees</t>
  </si>
  <si>
    <t>Wentworth East White Tees</t>
  </si>
  <si>
    <t>Yas Links 66</t>
  </si>
  <si>
    <t>Abu Dhabi GC Green</t>
  </si>
  <si>
    <t>Royal Springs</t>
  </si>
  <si>
    <t>Tolly</t>
  </si>
  <si>
    <t>Gargi</t>
  </si>
  <si>
    <t>Wentworth West yellow Tees</t>
  </si>
  <si>
    <t>Woburn White</t>
  </si>
  <si>
    <t>Centurion White/Silver</t>
  </si>
  <si>
    <t>DGC Course Rating</t>
  </si>
  <si>
    <t>itc blacks</t>
  </si>
  <si>
    <t>Jaypee blacks</t>
  </si>
  <si>
    <t>Noida golf course</t>
  </si>
  <si>
    <t>+10%</t>
  </si>
  <si>
    <t>Red Mountain</t>
  </si>
  <si>
    <t>Loch Palm</t>
  </si>
  <si>
    <t>Brocket Hall Palmerston White</t>
  </si>
  <si>
    <t>Wentworth East Yellow Tees</t>
  </si>
  <si>
    <t>Wentworth Edinburgh White Tees</t>
  </si>
  <si>
    <t>Wentworth Edinburgh Yellow Tees</t>
  </si>
  <si>
    <t>Shire London Emerald Tees</t>
  </si>
  <si>
    <t>RCGC White</t>
  </si>
  <si>
    <t>The Grove Silver Tees</t>
  </si>
  <si>
    <t>Sunningdale New White Tees</t>
  </si>
  <si>
    <t>Wisley Garden &amp; Church Blue</t>
  </si>
  <si>
    <t>Alpine Bangkok Blues</t>
  </si>
  <si>
    <t>Kalhaar Blue Tees</t>
  </si>
  <si>
    <t>Chandigarh</t>
  </si>
  <si>
    <t>Blue Canyon Black</t>
  </si>
  <si>
    <t>adjusted up by 20% (minimum two strokes)</t>
  </si>
  <si>
    <t>bpgc chembur blue</t>
  </si>
  <si>
    <t>KGA Green Tees</t>
  </si>
  <si>
    <t>itc blue</t>
  </si>
  <si>
    <t>adjusted up 20% min 2 strokes</t>
  </si>
  <si>
    <t>@90% minimum 1 stroke</t>
  </si>
  <si>
    <t>@80% minimum 2 strokes</t>
  </si>
  <si>
    <t>dgc 9a9b</t>
  </si>
  <si>
    <t>Almaty</t>
  </si>
  <si>
    <t>`</t>
  </si>
  <si>
    <t>Dwarka Blacks</t>
  </si>
  <si>
    <t>Dwarka Blues</t>
  </si>
  <si>
    <t>KGA White 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</si>
</sst>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-* #,##0.00_-;\-* #,##0.00_-;_-* &quot;-&quot;??_-;_-@_-"/>
    <numFmt numFmtId="165" formatCode="#,##0.00;\(#,##0.00\)"/>
    <numFmt numFmtId="166" formatCode="0.0"/>
    <numFmt numFmtId="167" formatCode="#,##0;\(#,##0\)"/>
    <numFmt numFmtId="168" formatCode="_-* #,##0_-;\-* #,##0_-;_-* &quot;-&quot;??_-;_-@_-"/>
  </numFmts>
  <fonts count="10" x14ac:knownFonts="1"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i/>
      <sz val="10"/>
      <color indexed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0" fontId="3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>
      <alignment vertical="center"/>
    </xf>
    <xf numFmtId="166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0" fillId="2" borderId="0" xfId="0" applyFill="1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7" fontId="1" fillId="0" borderId="0" xfId="0" applyNumberFormat="1" applyFont="1" applyAlignment="1">
      <alignment horizontal="center" wrapText="1"/>
    </xf>
    <xf numFmtId="164" fontId="0" fillId="0" borderId="0" xfId="1" applyFont="1" applyAlignment="1">
      <alignment vertical="center"/>
    </xf>
    <xf numFmtId="164" fontId="0" fillId="0" borderId="0" xfId="1" applyFont="1" applyFill="1" applyBorder="1" applyAlignment="1" applyProtection="1">
      <alignment wrapText="1"/>
    </xf>
    <xf numFmtId="0" fontId="0" fillId="0" borderId="0" xfId="0" applyAlignment="1"/>
    <xf numFmtId="2" fontId="0" fillId="0" borderId="0" xfId="0" applyNumberFormat="1" applyAlignment="1">
      <alignment wrapText="1"/>
    </xf>
    <xf numFmtId="0" fontId="4" fillId="3" borderId="0" xfId="0" applyFont="1" applyFill="1" applyAlignment="1">
      <alignment wrapText="1"/>
    </xf>
    <xf numFmtId="164" fontId="5" fillId="0" borderId="0" xfId="1" applyFont="1" applyFill="1" applyBorder="1" applyAlignment="1" applyProtection="1">
      <alignment wrapText="1"/>
    </xf>
    <xf numFmtId="164" fontId="3" fillId="0" borderId="0" xfId="1" applyFont="1" applyFill="1" applyBorder="1" applyAlignment="1" applyProtection="1">
      <alignment wrapText="1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quotePrefix="1">
      <alignment vertical="center"/>
    </xf>
    <xf numFmtId="0" fontId="0" fillId="0" borderId="0" xfId="0" quotePrefix="1" applyAlignment="1">
      <alignment wrapText="1"/>
    </xf>
    <xf numFmtId="167" fontId="0" fillId="0" borderId="0" xfId="0" applyNumberFormat="1" applyAlignment="1">
      <alignment horizontal="center" wrapText="1"/>
    </xf>
    <xf numFmtId="1" fontId="6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165" fontId="1" fillId="0" borderId="0" xfId="0" applyNumberFormat="1" applyFont="1" applyAlignment="1"/>
    <xf numFmtId="0" fontId="4" fillId="0" borderId="0" xfId="0" applyFont="1">
      <alignment vertical="center"/>
    </xf>
    <xf numFmtId="168" fontId="1" fillId="0" borderId="0" xfId="0" applyNumberFormat="1" applyFont="1" applyAlignment="1">
      <alignment horizontal="center"/>
    </xf>
    <xf numFmtId="168" fontId="3" fillId="0" borderId="0" xfId="1" applyNumberFormat="1" applyFont="1" applyFill="1" applyBorder="1" applyAlignment="1" applyProtection="1">
      <alignment horizontal="center" wrapText="1"/>
    </xf>
    <xf numFmtId="168" fontId="0" fillId="0" borderId="0" xfId="0" applyNumberFormat="1" applyAlignment="1">
      <alignment horizontal="center" wrapText="1"/>
    </xf>
    <xf numFmtId="0" fontId="4" fillId="0" borderId="0" xfId="0" applyFont="1" applyAlignment="1">
      <alignment horizontal="center"/>
    </xf>
    <xf numFmtId="164" fontId="4" fillId="0" borderId="0" xfId="1" applyFont="1" applyFill="1" applyBorder="1" applyAlignment="1" applyProtection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1" fillId="0" borderId="0" xfId="1" applyFont="1" applyAlignment="1">
      <alignment horizontal="left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4" fontId="3" fillId="0" borderId="0" xfId="1" applyFont="1" applyAlignment="1">
      <alignment horizontal="center" vertical="center" wrapText="1"/>
    </xf>
    <xf numFmtId="164" fontId="3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wrapText="1"/>
    </xf>
    <xf numFmtId="166" fontId="0" fillId="0" borderId="6" xfId="0" applyNumberFormat="1" applyBorder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5" borderId="0" xfId="0" applyNumberFormat="1" applyFill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FF00"/>
      <rgbColor rgb="00010000"/>
      <rgbColor rgb="0000CCF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sh Gupta" id="{A14019EA-F313-4FA0-9F99-CF133DBCB6D1}" userId="411cda9939cbdd8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2" dT="2025-04-21T04:18:34.05" personId="{A14019EA-F313-4FA0-9F99-CF133DBCB6D1}" id="{8DBAACA2-923A-4578-A026-41373B2474FB}">
    <text>1 over at dlf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114"/>
  <sheetViews>
    <sheetView tabSelected="1" zoomScaleNormal="100" workbookViewId="0">
      <selection activeCell="F27" sqref="F27"/>
    </sheetView>
  </sheetViews>
  <sheetFormatPr defaultColWidth="8.7265625" defaultRowHeight="12" customHeight="1" x14ac:dyDescent="0.25"/>
  <cols>
    <col min="1" max="1" width="14.1796875" customWidth="1"/>
    <col min="2" max="3" width="12.54296875" customWidth="1"/>
    <col min="4" max="4" width="14.81640625" customWidth="1"/>
    <col min="5" max="5" width="13.453125" customWidth="1"/>
    <col min="6" max="6" width="11.453125" bestFit="1" customWidth="1"/>
    <col min="7" max="7" width="10.81640625" customWidth="1"/>
    <col min="8" max="8" width="11.453125" bestFit="1" customWidth="1"/>
    <col min="9" max="9" width="11.7265625" customWidth="1"/>
    <col min="10" max="10" width="15.81640625" bestFit="1" customWidth="1"/>
    <col min="11" max="11" width="11.1796875" bestFit="1" customWidth="1"/>
  </cols>
  <sheetData>
    <row r="1" spans="1:14" s="33" customFormat="1" ht="13" x14ac:dyDescent="0.3">
      <c r="A1" s="35" t="s">
        <v>2</v>
      </c>
      <c r="B1" s="34" t="s">
        <v>3</v>
      </c>
      <c r="C1" s="34" t="s">
        <v>4</v>
      </c>
      <c r="D1" s="31"/>
      <c r="E1" s="32"/>
      <c r="F1" s="35"/>
      <c r="G1" s="34"/>
      <c r="H1" s="49"/>
      <c r="I1" s="49"/>
      <c r="J1" s="49"/>
      <c r="K1" s="49"/>
    </row>
    <row r="2" spans="1:14" ht="12.75" customHeight="1" x14ac:dyDescent="0.3">
      <c r="A2" s="4" t="str">
        <f>Details!G1</f>
        <v>Tav</v>
      </c>
      <c r="B2" s="17">
        <f>+Details!I3</f>
        <v>1.5</v>
      </c>
      <c r="C2" s="17">
        <f>(B2-$B$2)*0.75</f>
        <v>0</v>
      </c>
      <c r="D2" s="17"/>
      <c r="E2" s="20"/>
      <c r="G2" s="45"/>
      <c r="H2" s="51"/>
      <c r="I2" s="55"/>
      <c r="J2" s="53"/>
      <c r="K2" s="54"/>
      <c r="L2" s="50"/>
      <c r="M2" s="30"/>
      <c r="N2" s="2"/>
    </row>
    <row r="3" spans="1:14" ht="12.75" customHeight="1" x14ac:dyDescent="0.25">
      <c r="A3" s="4" t="str">
        <f>Details!A1</f>
        <v>Poky</v>
      </c>
      <c r="B3" s="17">
        <f>+Details!C3</f>
        <v>4.833333333333333</v>
      </c>
      <c r="C3" s="17">
        <f>(B3-$B$2)*0.75</f>
        <v>2.5</v>
      </c>
      <c r="D3" s="17"/>
      <c r="E3" s="20"/>
      <c r="F3" s="43"/>
      <c r="G3" s="44"/>
      <c r="H3" s="52"/>
      <c r="I3" s="56"/>
      <c r="J3" s="53"/>
      <c r="K3" s="54"/>
      <c r="L3" s="47"/>
      <c r="M3" s="30"/>
      <c r="N3" s="2"/>
    </row>
    <row r="4" spans="1:14" ht="12.75" customHeight="1" x14ac:dyDescent="0.25">
      <c r="A4" s="4" t="str">
        <f>Details!AE1</f>
        <v>Raul</v>
      </c>
      <c r="B4" s="17">
        <f>Details!AG3</f>
        <v>5.166666666666667</v>
      </c>
      <c r="C4" s="17">
        <f>(B4-$B$2)*0.75</f>
        <v>2.75</v>
      </c>
      <c r="D4" s="17"/>
      <c r="E4" s="20"/>
      <c r="G4" s="44"/>
      <c r="H4" s="51"/>
      <c r="I4" s="55"/>
      <c r="J4" s="53"/>
      <c r="K4" s="54"/>
      <c r="L4" s="48"/>
      <c r="M4" s="30"/>
      <c r="N4" s="2"/>
    </row>
    <row r="5" spans="1:14" ht="12.75" customHeight="1" x14ac:dyDescent="0.25">
      <c r="A5" s="4" t="str">
        <f>Details!D1</f>
        <v>Nutty</v>
      </c>
      <c r="B5" s="17">
        <f>Details!F3</f>
        <v>5.166666666666667</v>
      </c>
      <c r="C5" s="17">
        <f>(B5-$B$2)*0.75</f>
        <v>2.75</v>
      </c>
      <c r="D5" s="17"/>
      <c r="E5" s="20"/>
      <c r="F5" s="43"/>
      <c r="G5" s="44"/>
      <c r="H5" s="43"/>
      <c r="I5" s="55"/>
      <c r="J5" s="53"/>
      <c r="K5" s="54"/>
      <c r="L5" s="46"/>
      <c r="M5" s="30"/>
      <c r="N5" s="2"/>
    </row>
    <row r="6" spans="1:14" ht="12.75" customHeight="1" x14ac:dyDescent="0.25">
      <c r="A6" s="4" t="str">
        <f>Details!AB1</f>
        <v>Chauds</v>
      </c>
      <c r="B6" s="17">
        <f>Details!AD3</f>
        <v>7.5</v>
      </c>
      <c r="C6" s="17">
        <f>(B6-$B$2)*0.75</f>
        <v>4.5</v>
      </c>
      <c r="D6" s="17"/>
      <c r="E6" s="20"/>
      <c r="G6" s="44"/>
      <c r="H6" s="43"/>
      <c r="I6" s="56"/>
      <c r="J6" s="53"/>
      <c r="K6" s="54"/>
      <c r="L6" s="47"/>
      <c r="M6" s="30"/>
    </row>
    <row r="7" spans="1:14" ht="12.75" customHeight="1" x14ac:dyDescent="0.25">
      <c r="A7" s="4" t="str">
        <f>Details!V1</f>
        <v>AC</v>
      </c>
      <c r="B7" s="17">
        <f>+Details!X3</f>
        <v>8.1666666666666661</v>
      </c>
      <c r="C7" s="17">
        <f>(B7-$B$2)*0.75</f>
        <v>5</v>
      </c>
      <c r="D7" s="17"/>
      <c r="E7" s="20"/>
      <c r="G7" s="44"/>
      <c r="H7" s="43"/>
      <c r="I7" s="56"/>
      <c r="J7" s="53"/>
      <c r="K7" s="54"/>
      <c r="M7" s="30"/>
    </row>
    <row r="8" spans="1:14" ht="12.75" customHeight="1" x14ac:dyDescent="0.25">
      <c r="A8" s="4" t="str">
        <f>Details!AZ1</f>
        <v>DP</v>
      </c>
      <c r="B8" s="17">
        <f>Details!BB3</f>
        <v>11</v>
      </c>
      <c r="C8" s="17">
        <f>(B8-$B$2)*0.75</f>
        <v>7.125</v>
      </c>
      <c r="D8" s="17"/>
      <c r="E8" s="20"/>
      <c r="F8" s="4"/>
      <c r="G8" s="17"/>
      <c r="H8" s="43"/>
      <c r="I8" s="57"/>
      <c r="J8" s="53"/>
      <c r="K8" s="54"/>
    </row>
    <row r="9" spans="1:14" ht="12.75" customHeight="1" x14ac:dyDescent="0.25">
      <c r="A9" s="4" t="str">
        <f>Details!AN1</f>
        <v>JV</v>
      </c>
      <c r="B9" s="17">
        <f>Details!AP3</f>
        <v>11.666666666666666</v>
      </c>
      <c r="C9" s="17">
        <f>(B9-$B$2)*0.75</f>
        <v>7.625</v>
      </c>
      <c r="D9" s="17"/>
      <c r="E9" s="20"/>
      <c r="F9" s="4"/>
      <c r="G9" s="17"/>
      <c r="H9" s="43"/>
      <c r="I9" s="58"/>
      <c r="J9" s="53"/>
      <c r="K9" s="54"/>
    </row>
    <row r="10" spans="1:14" ht="12.75" customHeight="1" x14ac:dyDescent="0.25">
      <c r="A10" s="4" t="str">
        <f>Details!AH1</f>
        <v>Atul</v>
      </c>
      <c r="B10" s="17">
        <f>Details!AJ3</f>
        <v>12.283333333333333</v>
      </c>
      <c r="C10" s="17">
        <f>(B10-$B$2)*0.75</f>
        <v>8.0875000000000004</v>
      </c>
      <c r="D10" s="17"/>
      <c r="E10" s="20"/>
      <c r="F10" s="4"/>
      <c r="G10" s="17"/>
      <c r="H10" s="43"/>
      <c r="I10" s="58"/>
      <c r="J10" s="53"/>
      <c r="K10" s="54"/>
    </row>
    <row r="11" spans="1:14" ht="12.75" customHeight="1" x14ac:dyDescent="0.25">
      <c r="A11" s="4" t="str">
        <f>Details!J1</f>
        <v>Kartik</v>
      </c>
      <c r="B11" s="17">
        <f>Details!L3</f>
        <v>12.333333333333334</v>
      </c>
      <c r="C11" s="17">
        <f>(B11-$B$2)*0.75</f>
        <v>8.125</v>
      </c>
      <c r="D11" s="17"/>
      <c r="E11" s="20"/>
      <c r="G11" s="43"/>
      <c r="H11" s="43"/>
      <c r="I11" s="59"/>
      <c r="J11" s="53"/>
      <c r="K11" s="54"/>
    </row>
    <row r="12" spans="1:14" ht="12.75" customHeight="1" x14ac:dyDescent="0.25">
      <c r="A12" s="4" t="str">
        <f>Details!AT1</f>
        <v>Bharat</v>
      </c>
      <c r="B12" s="17">
        <f>Details!AV3</f>
        <v>12.5</v>
      </c>
      <c r="C12" s="17">
        <f>(B12-$B$2)*0.75</f>
        <v>8.25</v>
      </c>
      <c r="D12" s="17"/>
      <c r="E12" s="20"/>
      <c r="F12" s="43"/>
      <c r="G12" s="17"/>
      <c r="H12" s="43"/>
      <c r="I12" s="57"/>
      <c r="J12" s="53"/>
      <c r="K12" s="54"/>
      <c r="L12" s="17"/>
      <c r="M12" s="17"/>
    </row>
    <row r="13" spans="1:14" ht="12.75" customHeight="1" x14ac:dyDescent="0.25">
      <c r="A13" s="4" t="str">
        <f>Details!AQ1</f>
        <v>Luvy</v>
      </c>
      <c r="B13" s="17">
        <f>Details!AS3</f>
        <v>12.833333333333334</v>
      </c>
      <c r="C13" s="17">
        <f>(B13-$B$2)*0.75</f>
        <v>8.5</v>
      </c>
      <c r="D13" s="17"/>
      <c r="E13" s="20"/>
      <c r="G13" s="43"/>
      <c r="H13" s="43"/>
      <c r="I13" s="59"/>
      <c r="J13" s="53"/>
      <c r="K13" s="54"/>
      <c r="L13" s="30"/>
      <c r="M13" s="30"/>
    </row>
    <row r="14" spans="1:14" ht="12.75" customHeight="1" x14ac:dyDescent="0.25">
      <c r="A14" s="4" t="str">
        <f>Details!P1</f>
        <v>Boozy</v>
      </c>
      <c r="B14" s="17">
        <f>Details!R3</f>
        <v>13.066666666666668</v>
      </c>
      <c r="C14" s="17">
        <f>(B14-$B$2)*0.75</f>
        <v>8.6750000000000007</v>
      </c>
      <c r="D14" s="17"/>
      <c r="E14" s="20"/>
      <c r="F14" s="43"/>
      <c r="G14" s="17"/>
      <c r="H14" s="43"/>
      <c r="I14" s="59"/>
      <c r="J14" s="53"/>
      <c r="K14" s="54"/>
      <c r="L14" s="25"/>
      <c r="M14" s="25"/>
    </row>
    <row r="15" spans="1:14" ht="12.75" customHeight="1" x14ac:dyDescent="0.25">
      <c r="A15" s="4" t="str">
        <f>Details!M1</f>
        <v>Ashu</v>
      </c>
      <c r="B15" s="17">
        <f>+Details!O3</f>
        <v>13.666666666666666</v>
      </c>
      <c r="C15" s="17">
        <f>(B15-$B$2)*0.75</f>
        <v>9.125</v>
      </c>
      <c r="D15" s="17"/>
      <c r="E15" s="20"/>
      <c r="G15" s="43"/>
      <c r="H15" s="43"/>
      <c r="I15" s="59"/>
      <c r="J15" s="53"/>
      <c r="K15" s="54"/>
      <c r="L15" s="25"/>
      <c r="M15" s="25"/>
    </row>
    <row r="16" spans="1:14" ht="12.75" customHeight="1" x14ac:dyDescent="0.25">
      <c r="A16" s="4" t="str">
        <f>Details!BC1</f>
        <v>Ashu J</v>
      </c>
      <c r="B16" s="17">
        <f>Details!BE3</f>
        <v>14.333333333333334</v>
      </c>
      <c r="C16" s="17">
        <f>(B16-$B$2)*0.75</f>
        <v>9.625</v>
      </c>
      <c r="D16" s="17"/>
      <c r="E16" s="20"/>
      <c r="F16" s="43"/>
      <c r="H16" s="43"/>
      <c r="I16" s="59"/>
      <c r="J16" s="53"/>
      <c r="K16" s="54"/>
      <c r="L16" s="29"/>
      <c r="M16" s="29"/>
    </row>
    <row r="17" spans="1:13" ht="12.75" customHeight="1" x14ac:dyDescent="0.25">
      <c r="A17" s="4" t="str">
        <f>Details!BF1</f>
        <v>Gargi</v>
      </c>
      <c r="B17" s="17">
        <f>Details!BH3</f>
        <v>14.833333333333334</v>
      </c>
      <c r="C17" s="17">
        <f>(B17-$B$2)*0.75</f>
        <v>10</v>
      </c>
      <c r="D17" s="17"/>
      <c r="E17" s="20"/>
      <c r="F17" t="s">
        <v>83</v>
      </c>
      <c r="G17" s="43"/>
      <c r="H17" s="43"/>
      <c r="I17" s="59"/>
      <c r="J17" s="53"/>
      <c r="K17" s="54"/>
      <c r="L17" s="17"/>
      <c r="M17" s="25"/>
    </row>
    <row r="18" spans="1:13" ht="12.75" customHeight="1" x14ac:dyDescent="0.25">
      <c r="A18" s="4" t="str">
        <f>Details!AK1</f>
        <v>Tarun</v>
      </c>
      <c r="B18" s="17">
        <f>Details!AM3</f>
        <v>14.933333333333332</v>
      </c>
      <c r="C18" s="17">
        <f>(B18-$B$2)*0.75</f>
        <v>10.074999999999999</v>
      </c>
      <c r="D18" s="17"/>
      <c r="E18" s="20"/>
      <c r="F18" s="4"/>
      <c r="G18" s="17"/>
      <c r="H18" s="43"/>
      <c r="I18" s="59"/>
      <c r="J18" s="53"/>
      <c r="K18" s="54"/>
      <c r="L18" s="17"/>
      <c r="M18" s="25"/>
    </row>
    <row r="19" spans="1:13" ht="12.75" customHeight="1" x14ac:dyDescent="0.25">
      <c r="A19" s="4" t="str">
        <f>+Details!S1</f>
        <v>PK</v>
      </c>
      <c r="B19" s="17">
        <f>Details!U3</f>
        <v>15</v>
      </c>
      <c r="C19" s="17">
        <f>(B19-$B$2)*0.75</f>
        <v>10.125</v>
      </c>
      <c r="D19" s="17"/>
      <c r="E19" s="20"/>
      <c r="F19" s="4"/>
      <c r="G19" s="17"/>
      <c r="H19" s="43"/>
      <c r="I19" s="59"/>
      <c r="J19" s="53"/>
      <c r="K19" s="54"/>
      <c r="L19" s="17"/>
      <c r="M19" s="29"/>
    </row>
    <row r="20" spans="1:13" ht="12.75" customHeight="1" x14ac:dyDescent="0.25">
      <c r="A20" s="4" t="str">
        <f>Details!Y1</f>
        <v>Gags</v>
      </c>
      <c r="B20" s="17">
        <f>Details!AA3</f>
        <v>15.333333333333334</v>
      </c>
      <c r="C20" s="17">
        <f>(B20-$B$2)*0.75</f>
        <v>10.375</v>
      </c>
      <c r="D20" s="17"/>
      <c r="E20" s="20"/>
      <c r="F20" s="43"/>
      <c r="G20" s="17"/>
      <c r="H20" s="43"/>
      <c r="I20" s="59"/>
      <c r="J20" s="53"/>
      <c r="K20" s="54"/>
      <c r="L20" s="17"/>
      <c r="M20" s="25"/>
    </row>
    <row r="21" spans="1:13" ht="12.75" customHeight="1" x14ac:dyDescent="0.25">
      <c r="A21" s="4"/>
      <c r="B21" s="17"/>
      <c r="C21" s="17"/>
      <c r="D21" s="17"/>
      <c r="E21" s="20"/>
      <c r="F21" s="4"/>
      <c r="G21" s="17"/>
      <c r="H21" s="43"/>
      <c r="I21" s="59"/>
      <c r="J21" s="53"/>
      <c r="K21" s="54"/>
    </row>
    <row r="22" spans="1:13" ht="12.75" customHeight="1" x14ac:dyDescent="0.25">
      <c r="A22" s="4"/>
      <c r="B22" s="17"/>
      <c r="C22" s="17"/>
      <c r="D22" s="17"/>
      <c r="E22" s="20"/>
      <c r="F22" s="4"/>
      <c r="G22" s="17"/>
    </row>
    <row r="23" spans="1:13" ht="12.75" customHeight="1" x14ac:dyDescent="0.25">
      <c r="A23" s="4"/>
      <c r="B23" s="17"/>
      <c r="C23" s="17"/>
      <c r="D23" s="17"/>
      <c r="E23" s="20"/>
      <c r="I23" s="2"/>
      <c r="J23" s="2"/>
      <c r="K23" s="2"/>
    </row>
    <row r="24" spans="1:13" ht="12.75" customHeight="1" x14ac:dyDescent="0.3">
      <c r="A24" s="3" t="s">
        <v>18</v>
      </c>
      <c r="B24" s="15" t="s">
        <v>1</v>
      </c>
      <c r="C24" s="1" t="s">
        <v>0</v>
      </c>
      <c r="D24" s="2"/>
      <c r="E24" s="2"/>
      <c r="F24" s="2"/>
      <c r="K24" s="2"/>
    </row>
    <row r="25" spans="1:13" ht="12.75" customHeight="1" x14ac:dyDescent="0.25">
      <c r="A25" s="4" t="str">
        <f>Details!V1</f>
        <v>AC</v>
      </c>
      <c r="B25" s="18">
        <f>+Details!V3</f>
        <v>17900</v>
      </c>
      <c r="C25" s="41"/>
      <c r="D25" s="2"/>
      <c r="E25" s="2"/>
      <c r="F25" s="2"/>
      <c r="K25" s="2"/>
    </row>
    <row r="26" spans="1:13" ht="12.75" customHeight="1" x14ac:dyDescent="0.25">
      <c r="A26" s="4" t="str">
        <f>Details!G1</f>
        <v>Tav</v>
      </c>
      <c r="B26" s="18">
        <f>+Details!G3</f>
        <v>12900</v>
      </c>
      <c r="C26" s="41"/>
      <c r="D26" s="2"/>
      <c r="E26" s="2"/>
      <c r="F26" s="2"/>
      <c r="G26" s="2"/>
      <c r="H26" s="2"/>
      <c r="I26" s="2"/>
      <c r="J26" s="2"/>
      <c r="K26" s="2"/>
    </row>
    <row r="27" spans="1:13" ht="12.75" customHeight="1" x14ac:dyDescent="0.25">
      <c r="A27" s="4" t="str">
        <f>Details!J1</f>
        <v>Kartik</v>
      </c>
      <c r="B27" s="18">
        <f>Details!J3</f>
        <v>10400</v>
      </c>
      <c r="C27" s="41"/>
      <c r="D27" s="2"/>
      <c r="E27" s="2"/>
      <c r="F27" s="2"/>
      <c r="G27" s="2"/>
      <c r="H27" s="2"/>
      <c r="I27" s="2"/>
      <c r="J27" s="2"/>
      <c r="K27" s="2"/>
    </row>
    <row r="28" spans="1:13" ht="12.75" customHeight="1" x14ac:dyDescent="0.25">
      <c r="A28" s="2" t="str">
        <f>Details!AE1</f>
        <v>Raul</v>
      </c>
      <c r="B28" s="18">
        <f>Details!AE3</f>
        <v>8500</v>
      </c>
      <c r="C28" s="21"/>
      <c r="D28" s="2"/>
      <c r="E28" s="2"/>
      <c r="F28" s="2"/>
      <c r="G28" s="2"/>
      <c r="H28" s="2"/>
      <c r="I28" s="2"/>
      <c r="J28" s="2"/>
      <c r="K28" s="2"/>
    </row>
    <row r="29" spans="1:13" ht="12.75" customHeight="1" x14ac:dyDescent="0.25">
      <c r="A29" s="4" t="str">
        <f>Details!M1</f>
        <v>Ashu</v>
      </c>
      <c r="B29" s="18">
        <f>Details!M3</f>
        <v>6000</v>
      </c>
      <c r="C29" s="21"/>
      <c r="D29" s="2"/>
      <c r="E29" s="2"/>
      <c r="F29" s="2"/>
      <c r="G29" s="2"/>
      <c r="H29" s="2"/>
      <c r="I29" s="2"/>
      <c r="J29" s="2"/>
      <c r="K29" s="2"/>
    </row>
    <row r="30" spans="1:13" ht="12.75" customHeight="1" x14ac:dyDescent="0.25">
      <c r="A30" s="4" t="str">
        <f>+Details!S1</f>
        <v>PK</v>
      </c>
      <c r="B30" s="18">
        <f>+Details!S3</f>
        <v>4900</v>
      </c>
      <c r="C30" s="21"/>
      <c r="D30" s="2"/>
      <c r="E30" s="2"/>
      <c r="F30" s="2"/>
      <c r="G30" s="2"/>
      <c r="H30" s="2"/>
      <c r="I30" s="2"/>
      <c r="J30" s="2"/>
      <c r="K30" s="2"/>
    </row>
    <row r="31" spans="1:13" ht="12.75" customHeight="1" x14ac:dyDescent="0.25">
      <c r="A31" s="4" t="s">
        <v>19</v>
      </c>
      <c r="B31" s="18">
        <f>Details!AN3</f>
        <v>4510</v>
      </c>
      <c r="C31" s="21"/>
      <c r="D31" s="2"/>
      <c r="E31" s="2"/>
      <c r="F31" s="2"/>
      <c r="G31" s="2"/>
      <c r="H31" s="2"/>
      <c r="I31" s="2"/>
      <c r="J31" s="2"/>
      <c r="K31" s="2"/>
    </row>
    <row r="32" spans="1:13" ht="12.75" customHeight="1" x14ac:dyDescent="0.25">
      <c r="A32" s="2" t="str">
        <f>Details!AH1</f>
        <v>Atul</v>
      </c>
      <c r="B32" s="18">
        <f>Details!AH3</f>
        <v>2100</v>
      </c>
      <c r="C32" s="22"/>
      <c r="D32" s="2"/>
      <c r="E32" s="2"/>
      <c r="F32" s="2"/>
      <c r="G32" s="2"/>
      <c r="H32" s="2"/>
      <c r="I32" s="2"/>
      <c r="J32" s="2"/>
      <c r="K32" s="2"/>
    </row>
    <row r="33" spans="1:11" ht="12.75" customHeight="1" x14ac:dyDescent="0.25">
      <c r="A33" s="4" t="str">
        <f>Details!A1</f>
        <v>Poky</v>
      </c>
      <c r="B33" s="18">
        <f>+Details!A3</f>
        <v>0</v>
      </c>
      <c r="C33" s="22"/>
      <c r="D33" s="2"/>
      <c r="E33" s="2"/>
      <c r="F33" s="2"/>
      <c r="G33" s="2"/>
      <c r="H33" s="2"/>
      <c r="I33" s="2"/>
      <c r="J33" s="2"/>
      <c r="K33" s="2"/>
    </row>
    <row r="34" spans="1:11" ht="12.75" customHeight="1" x14ac:dyDescent="0.25">
      <c r="A34" s="2" t="str">
        <f>Details!AK1</f>
        <v>Tarun</v>
      </c>
      <c r="B34" s="18">
        <f>Details!AK3</f>
        <v>-580</v>
      </c>
      <c r="C34" s="22"/>
      <c r="D34" s="2"/>
      <c r="E34" s="2"/>
      <c r="F34" s="2"/>
      <c r="G34" s="2"/>
      <c r="H34" s="2"/>
      <c r="I34" s="2"/>
      <c r="J34" s="2"/>
      <c r="K34" s="2"/>
    </row>
    <row r="35" spans="1:11" ht="12.75" customHeight="1" x14ac:dyDescent="0.25">
      <c r="A35" s="4" t="str">
        <f>Details!AQ1</f>
        <v>Luvy</v>
      </c>
      <c r="B35" s="18">
        <f>Details!AQ3</f>
        <v>-1500</v>
      </c>
      <c r="C35" s="22"/>
      <c r="D35" s="2"/>
      <c r="E35" s="2"/>
      <c r="F35" s="2"/>
      <c r="G35" s="2"/>
      <c r="H35" s="2"/>
      <c r="I35" s="2"/>
      <c r="J35" s="2"/>
      <c r="K35" s="2"/>
    </row>
    <row r="36" spans="1:11" ht="12.75" customHeight="1" x14ac:dyDescent="0.25">
      <c r="A36" s="2" t="str">
        <f>Details!AB1</f>
        <v>Chauds</v>
      </c>
      <c r="B36" s="18">
        <f>Details!AB3</f>
        <v>-2100</v>
      </c>
      <c r="C36" s="22"/>
      <c r="D36" s="2"/>
      <c r="E36" s="2"/>
      <c r="F36" s="2"/>
      <c r="G36" s="2"/>
      <c r="H36" s="2"/>
      <c r="I36" s="2"/>
      <c r="J36" s="2"/>
      <c r="K36" s="2"/>
    </row>
    <row r="37" spans="1:11" ht="12.75" customHeight="1" x14ac:dyDescent="0.25">
      <c r="A37" s="4" t="str">
        <f>Details!AT1</f>
        <v>Bharat</v>
      </c>
      <c r="B37" s="18">
        <f>Details!AT3</f>
        <v>-2300</v>
      </c>
      <c r="C37" s="22"/>
      <c r="D37" s="2"/>
      <c r="E37" s="2"/>
      <c r="F37" s="2"/>
      <c r="G37" s="2"/>
      <c r="H37" s="2"/>
      <c r="I37" s="2"/>
      <c r="J37" s="2"/>
      <c r="K37" s="2"/>
    </row>
    <row r="38" spans="1:11" ht="12" customHeight="1" x14ac:dyDescent="0.25">
      <c r="A38" s="2" t="str">
        <f>Details!BF1</f>
        <v>Gargi</v>
      </c>
      <c r="B38" s="18">
        <f>Details!BF3</f>
        <v>-3300</v>
      </c>
      <c r="C38" s="22"/>
      <c r="D38" s="2"/>
      <c r="E38" s="2"/>
      <c r="F38" s="2"/>
      <c r="G38" s="2"/>
      <c r="H38" s="2"/>
      <c r="I38" s="2"/>
      <c r="J38" s="2"/>
      <c r="K38" s="2"/>
    </row>
    <row r="39" spans="1:11" ht="12" customHeight="1" x14ac:dyDescent="0.25">
      <c r="A39" s="4" t="str">
        <f>Details!BC1</f>
        <v>Ashu J</v>
      </c>
      <c r="B39" s="18">
        <f>Details!BC3</f>
        <v>-4350</v>
      </c>
      <c r="C39" s="22"/>
      <c r="D39" s="2"/>
      <c r="E39" s="2"/>
      <c r="F39" s="2"/>
      <c r="G39" s="2"/>
      <c r="H39" s="2"/>
      <c r="I39" s="2"/>
      <c r="J39" s="2"/>
      <c r="K39" s="2"/>
    </row>
    <row r="40" spans="1:11" ht="12" customHeight="1" x14ac:dyDescent="0.25">
      <c r="A40" s="4" t="str">
        <f>Details!D1</f>
        <v>Nutty</v>
      </c>
      <c r="B40" s="18">
        <f>+Details!D3</f>
        <v>-5050</v>
      </c>
      <c r="C40" s="22"/>
      <c r="D40" s="2"/>
      <c r="E40" s="2"/>
      <c r="F40" s="2"/>
      <c r="G40" s="2"/>
      <c r="H40" s="2"/>
      <c r="I40" s="2"/>
      <c r="J40" s="2"/>
      <c r="K40" s="2"/>
    </row>
    <row r="41" spans="1:11" ht="12" customHeight="1" x14ac:dyDescent="0.25">
      <c r="A41" s="4" t="str">
        <f>Details!Y1</f>
        <v>Gags</v>
      </c>
      <c r="B41" s="18">
        <f>Details!Y3</f>
        <v>-5530</v>
      </c>
      <c r="C41" s="23"/>
      <c r="D41" s="2"/>
      <c r="E41" s="2"/>
      <c r="F41" s="2"/>
      <c r="G41" s="2"/>
      <c r="H41" s="2"/>
      <c r="I41" s="2"/>
      <c r="J41" s="2"/>
      <c r="K41" s="2"/>
    </row>
    <row r="42" spans="1:11" ht="12" customHeight="1" x14ac:dyDescent="0.25">
      <c r="A42" s="4" t="s">
        <v>39</v>
      </c>
      <c r="B42" s="18">
        <f>Details!AZ3</f>
        <v>-13400</v>
      </c>
      <c r="C42" s="22"/>
      <c r="D42" s="2"/>
      <c r="E42" s="2"/>
      <c r="F42" s="2"/>
      <c r="G42" s="2"/>
      <c r="H42" s="2"/>
      <c r="I42" s="2"/>
      <c r="J42" s="2"/>
      <c r="K42" s="2"/>
    </row>
    <row r="43" spans="1:11" ht="12" customHeight="1" x14ac:dyDescent="0.25">
      <c r="A43" s="4" t="str">
        <f>Details!P1</f>
        <v>Boozy</v>
      </c>
      <c r="B43" s="18">
        <f>Details!P3</f>
        <v>-24700</v>
      </c>
      <c r="C43" s="21"/>
      <c r="D43" s="2"/>
      <c r="E43" s="2"/>
      <c r="F43" s="2"/>
      <c r="G43" s="2"/>
      <c r="H43" s="2"/>
      <c r="I43" s="2"/>
      <c r="J43" s="2"/>
      <c r="K43" s="2"/>
    </row>
    <row r="44" spans="1:11" ht="12" customHeight="1" x14ac:dyDescent="0.25">
      <c r="A44" s="2" t="s">
        <v>0</v>
      </c>
      <c r="B44" s="2" t="s">
        <v>0</v>
      </c>
      <c r="C44" s="2" t="s">
        <v>0</v>
      </c>
      <c r="D44" s="2"/>
      <c r="E44" s="2"/>
      <c r="F44" s="2"/>
      <c r="G44" s="2"/>
      <c r="H44" s="2"/>
      <c r="I44" s="2"/>
      <c r="J44" s="2"/>
      <c r="K44" s="2"/>
    </row>
    <row r="45" spans="1:11" ht="12" customHeight="1" x14ac:dyDescent="0.25">
      <c r="A45" s="2" t="s">
        <v>0</v>
      </c>
      <c r="B45" s="2" t="s">
        <v>0</v>
      </c>
      <c r="C45" s="2" t="s">
        <v>0</v>
      </c>
      <c r="D45" s="2"/>
      <c r="E45" s="2"/>
      <c r="F45" s="2"/>
      <c r="G45" s="2"/>
      <c r="H45" s="2"/>
      <c r="I45" s="2"/>
      <c r="J45" s="2"/>
      <c r="K45" s="2"/>
    </row>
    <row r="46" spans="1:11" ht="12" customHeight="1" x14ac:dyDescent="0.25">
      <c r="A46" s="26" t="s">
        <v>24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" customHeight="1" x14ac:dyDescent="0.3">
      <c r="A47" s="26" t="s">
        <v>25</v>
      </c>
      <c r="C47" s="28">
        <v>73</v>
      </c>
      <c r="D47" s="2"/>
      <c r="E47" s="2"/>
      <c r="F47" s="2"/>
      <c r="G47" s="2"/>
      <c r="H47" s="2"/>
      <c r="I47" s="2"/>
      <c r="J47" s="2"/>
      <c r="K47" s="2"/>
    </row>
    <row r="48" spans="1:11" ht="12" customHeight="1" x14ac:dyDescent="0.3">
      <c r="A48" s="26" t="s">
        <v>26</v>
      </c>
      <c r="C48" s="28">
        <v>71.3</v>
      </c>
      <c r="D48" s="2"/>
      <c r="E48" s="2"/>
      <c r="F48" s="2"/>
      <c r="G48" s="2"/>
      <c r="H48" s="2"/>
      <c r="I48" s="2"/>
      <c r="J48" s="2"/>
      <c r="K48" s="2"/>
    </row>
    <row r="49" spans="1:11" ht="12" customHeight="1" x14ac:dyDescent="0.3">
      <c r="A49" s="26" t="s">
        <v>27</v>
      </c>
      <c r="C49" s="28">
        <v>133</v>
      </c>
      <c r="D49" s="2"/>
      <c r="E49" s="2"/>
      <c r="F49" s="2"/>
      <c r="G49" s="2"/>
      <c r="H49" s="2"/>
      <c r="I49" s="2"/>
      <c r="J49" s="2"/>
      <c r="K49" s="2"/>
    </row>
    <row r="50" spans="1:11" ht="12" customHeight="1" x14ac:dyDescent="0.25">
      <c r="A50" s="26" t="s">
        <v>54</v>
      </c>
      <c r="C50" s="2">
        <v>73.099999999999994</v>
      </c>
      <c r="D50" s="2"/>
      <c r="E50" s="2"/>
      <c r="F50" s="2"/>
      <c r="G50" s="2"/>
      <c r="H50" s="2"/>
      <c r="I50" s="2"/>
      <c r="J50" s="2"/>
      <c r="K50" s="2"/>
    </row>
    <row r="51" spans="1:11" ht="12" customHeight="1" x14ac:dyDescent="0.25">
      <c r="A51" s="26" t="s">
        <v>30</v>
      </c>
      <c r="C51" s="2">
        <v>132</v>
      </c>
      <c r="D51" s="2"/>
      <c r="F51" s="2"/>
      <c r="G51" s="2"/>
      <c r="H51" s="2"/>
      <c r="I51" s="2"/>
      <c r="J51" s="2"/>
      <c r="K51" s="2"/>
    </row>
    <row r="52" spans="1:11" ht="12" customHeight="1" x14ac:dyDescent="0.25">
      <c r="A52" s="26" t="s">
        <v>29</v>
      </c>
      <c r="C52" s="27">
        <f>((C47-C48)*113/C49+1.1)*C51/113</f>
        <v>2.9721737973251745</v>
      </c>
      <c r="D52" s="2"/>
      <c r="F52" s="2"/>
      <c r="G52" s="2"/>
      <c r="H52" s="2"/>
      <c r="I52" s="2"/>
      <c r="J52" s="2"/>
      <c r="K52" s="2"/>
    </row>
    <row r="53" spans="1:11" ht="12" customHeight="1" x14ac:dyDescent="0.25">
      <c r="A53" s="26" t="s">
        <v>28</v>
      </c>
      <c r="C53" s="2">
        <f>ROUND(C52,0)</f>
        <v>3</v>
      </c>
      <c r="D53" s="2"/>
      <c r="F53" s="2"/>
      <c r="G53" s="2"/>
      <c r="H53" s="2"/>
      <c r="I53" s="2"/>
      <c r="J53" s="2"/>
      <c r="K53" s="2"/>
    </row>
    <row r="54" spans="1:11" ht="12" customHeight="1" x14ac:dyDescent="0.25">
      <c r="A54" s="2" t="s">
        <v>0</v>
      </c>
      <c r="B54" s="2" t="s">
        <v>0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ht="12" customHeight="1" x14ac:dyDescent="0.25">
      <c r="A55" s="26"/>
      <c r="D55" s="2"/>
      <c r="E55" s="2"/>
      <c r="F55" s="2"/>
      <c r="G55" s="2"/>
      <c r="H55" s="2"/>
      <c r="I55" s="2"/>
      <c r="J55" s="2"/>
      <c r="K55" s="2"/>
    </row>
    <row r="56" spans="1:11" ht="12" customHeight="1" x14ac:dyDescent="0.25">
      <c r="A56" s="26" t="s">
        <v>35</v>
      </c>
      <c r="C56">
        <v>74.2</v>
      </c>
      <c r="D56">
        <v>136</v>
      </c>
      <c r="E56" t="s">
        <v>38</v>
      </c>
      <c r="F56" s="2"/>
      <c r="G56" s="2"/>
      <c r="H56" s="2"/>
      <c r="I56" s="2"/>
      <c r="J56" s="2"/>
      <c r="K56" s="2"/>
    </row>
    <row r="57" spans="1:11" ht="12" customHeight="1" x14ac:dyDescent="0.25">
      <c r="A57" s="26" t="s">
        <v>81</v>
      </c>
      <c r="E57" t="s">
        <v>74</v>
      </c>
      <c r="F57" s="2"/>
      <c r="G57" s="2"/>
      <c r="H57" s="2"/>
      <c r="I57" s="2"/>
      <c r="J57" s="2"/>
      <c r="K57" s="2"/>
    </row>
    <row r="58" spans="1:11" ht="12" customHeight="1" x14ac:dyDescent="0.25">
      <c r="A58" s="26" t="s">
        <v>36</v>
      </c>
      <c r="C58">
        <v>72.099999999999994</v>
      </c>
      <c r="D58">
        <v>130</v>
      </c>
      <c r="E58" t="s">
        <v>37</v>
      </c>
      <c r="F58" s="2"/>
      <c r="G58" s="2"/>
      <c r="H58" s="2"/>
      <c r="I58" s="2"/>
      <c r="J58" s="2"/>
      <c r="K58" s="2"/>
    </row>
    <row r="59" spans="1:11" ht="12" customHeight="1" x14ac:dyDescent="0.25">
      <c r="A59" s="26" t="s">
        <v>55</v>
      </c>
      <c r="C59">
        <v>73.400000000000006</v>
      </c>
      <c r="D59">
        <v>134</v>
      </c>
      <c r="E59" s="39" t="s">
        <v>79</v>
      </c>
      <c r="F59" s="2"/>
      <c r="G59" s="2"/>
      <c r="H59" s="2"/>
      <c r="I59" s="2"/>
      <c r="J59" s="2"/>
      <c r="K59" s="2"/>
    </row>
    <row r="60" spans="1:11" ht="12" customHeight="1" x14ac:dyDescent="0.25">
      <c r="A60" s="26" t="s">
        <v>77</v>
      </c>
      <c r="C60">
        <v>70.099999999999994</v>
      </c>
      <c r="D60">
        <v>125</v>
      </c>
      <c r="E60" s="39" t="s">
        <v>78</v>
      </c>
      <c r="F60" s="2"/>
      <c r="G60" s="2"/>
      <c r="H60" s="2"/>
      <c r="I60" s="2"/>
      <c r="J60" s="2"/>
      <c r="K60" s="2"/>
    </row>
    <row r="61" spans="1:11" ht="12" customHeight="1" x14ac:dyDescent="0.25">
      <c r="A61" s="26" t="s">
        <v>56</v>
      </c>
      <c r="C61" s="39" t="s">
        <v>80</v>
      </c>
      <c r="E61" s="2"/>
      <c r="F61" s="2"/>
      <c r="G61" s="2"/>
      <c r="H61" s="2"/>
      <c r="I61" s="2"/>
      <c r="J61" s="2"/>
      <c r="K61" s="2"/>
    </row>
    <row r="62" spans="1:11" ht="12" customHeight="1" x14ac:dyDescent="0.25">
      <c r="A62" s="26" t="s">
        <v>31</v>
      </c>
      <c r="C62" s="2">
        <v>73.7</v>
      </c>
      <c r="D62" s="2">
        <v>139</v>
      </c>
      <c r="E62" t="s">
        <v>38</v>
      </c>
      <c r="F62" s="2"/>
      <c r="G62" s="2"/>
      <c r="H62" s="2"/>
      <c r="I62" s="2"/>
      <c r="J62" s="2"/>
      <c r="K62" s="2"/>
    </row>
    <row r="63" spans="1:11" ht="12" customHeight="1" x14ac:dyDescent="0.25">
      <c r="A63" s="26" t="s">
        <v>32</v>
      </c>
      <c r="C63" s="2">
        <v>71.099999999999994</v>
      </c>
      <c r="D63" s="2">
        <v>133</v>
      </c>
      <c r="E63" s="2"/>
      <c r="F63" s="2"/>
      <c r="G63" s="2"/>
      <c r="H63" s="2"/>
      <c r="I63" s="2"/>
      <c r="J63" s="2"/>
      <c r="K63" s="2"/>
    </row>
    <row r="64" spans="1:11" ht="12" customHeight="1" x14ac:dyDescent="0.25">
      <c r="A64" s="26" t="s">
        <v>57</v>
      </c>
      <c r="C64" s="40" t="s">
        <v>58</v>
      </c>
      <c r="D64" s="2"/>
      <c r="E64" s="2"/>
      <c r="F64" s="2"/>
      <c r="G64" s="2"/>
      <c r="H64" s="2"/>
      <c r="I64" s="2"/>
      <c r="J64" s="2"/>
      <c r="K64" s="2"/>
    </row>
    <row r="65" spans="1:11" ht="12" customHeight="1" x14ac:dyDescent="0.25">
      <c r="A65" s="26" t="s">
        <v>33</v>
      </c>
      <c r="C65" s="2">
        <v>70.2</v>
      </c>
      <c r="D65" s="2">
        <v>125</v>
      </c>
      <c r="E65" s="2"/>
      <c r="F65" s="2"/>
      <c r="G65" s="2"/>
      <c r="H65" s="2"/>
      <c r="I65" s="2"/>
      <c r="J65" s="2"/>
      <c r="K65" s="2"/>
    </row>
    <row r="66" spans="1:11" ht="12" customHeight="1" x14ac:dyDescent="0.25">
      <c r="A66" s="26" t="s">
        <v>75</v>
      </c>
      <c r="C66" s="2">
        <v>68.8</v>
      </c>
      <c r="D66" s="2">
        <v>123</v>
      </c>
      <c r="E66" s="2"/>
      <c r="F66" s="2"/>
      <c r="G66" s="2"/>
      <c r="H66" s="2"/>
      <c r="I66" s="2"/>
      <c r="J66" s="2"/>
      <c r="K66" s="2"/>
    </row>
    <row r="67" spans="1:11" ht="12" customHeight="1" x14ac:dyDescent="0.25">
      <c r="A67" s="26" t="s">
        <v>34</v>
      </c>
      <c r="C67" s="2">
        <v>71.099999999999994</v>
      </c>
      <c r="D67" s="2">
        <v>135</v>
      </c>
      <c r="E67" s="2"/>
      <c r="F67" s="2"/>
      <c r="G67" s="2"/>
      <c r="H67" s="2"/>
      <c r="I67" s="2"/>
      <c r="J67" s="2"/>
      <c r="K67" s="2"/>
    </row>
    <row r="68" spans="1:11" ht="12" customHeight="1" x14ac:dyDescent="0.25">
      <c r="A68" s="26" t="s">
        <v>42</v>
      </c>
      <c r="C68" s="2">
        <v>68.3</v>
      </c>
      <c r="D68" s="2">
        <v>122</v>
      </c>
      <c r="E68" t="s">
        <v>74</v>
      </c>
      <c r="F68" s="2"/>
      <c r="G68" s="2"/>
      <c r="H68" s="2"/>
      <c r="I68" s="2"/>
      <c r="J68" s="2"/>
      <c r="K68" s="2"/>
    </row>
    <row r="69" spans="1:11" ht="12" customHeight="1" x14ac:dyDescent="0.25">
      <c r="A69" s="26" t="s">
        <v>43</v>
      </c>
      <c r="C69" s="2">
        <v>69.5</v>
      </c>
      <c r="D69" s="2">
        <v>127</v>
      </c>
      <c r="E69" t="s">
        <v>37</v>
      </c>
      <c r="F69" s="2"/>
      <c r="G69" s="2"/>
      <c r="H69" s="2"/>
      <c r="I69" s="2"/>
      <c r="J69" s="2"/>
      <c r="K69" s="2"/>
    </row>
    <row r="70" spans="1:11" ht="12" customHeight="1" x14ac:dyDescent="0.25">
      <c r="A70" s="26" t="s">
        <v>84</v>
      </c>
      <c r="C70" s="2">
        <v>73.599999999999994</v>
      </c>
      <c r="D70" s="2">
        <v>127</v>
      </c>
      <c r="E70" s="2"/>
      <c r="F70" s="2"/>
      <c r="G70" s="2"/>
      <c r="H70" s="2"/>
      <c r="I70" s="2"/>
      <c r="J70" s="2"/>
      <c r="K70" s="2"/>
    </row>
    <row r="71" spans="1:11" ht="12" customHeight="1" x14ac:dyDescent="0.25">
      <c r="A71" s="26" t="s">
        <v>85</v>
      </c>
      <c r="C71" s="2">
        <v>70.7</v>
      </c>
      <c r="D71" s="2">
        <v>121</v>
      </c>
      <c r="E71" s="2"/>
      <c r="F71" s="2"/>
      <c r="G71" s="2"/>
      <c r="H71" s="2"/>
      <c r="I71" s="2"/>
      <c r="J71" s="2"/>
      <c r="K71" s="2"/>
    </row>
    <row r="72" spans="1:11" ht="12" customHeight="1" x14ac:dyDescent="0.25">
      <c r="A72" s="26" t="s">
        <v>44</v>
      </c>
      <c r="C72" s="2">
        <v>76</v>
      </c>
      <c r="D72" s="2">
        <v>151</v>
      </c>
      <c r="E72" s="2"/>
      <c r="F72" s="2"/>
      <c r="G72" s="2"/>
      <c r="H72" s="2"/>
      <c r="I72" s="2"/>
      <c r="J72" s="2"/>
      <c r="K72" s="2"/>
    </row>
    <row r="73" spans="1:11" ht="12" customHeight="1" x14ac:dyDescent="0.25">
      <c r="A73" s="26" t="s">
        <v>51</v>
      </c>
      <c r="C73" s="2">
        <v>74.2</v>
      </c>
      <c r="D73" s="2">
        <v>148</v>
      </c>
      <c r="E73" s="2"/>
      <c r="F73" s="2"/>
      <c r="G73" s="2"/>
      <c r="H73" s="2"/>
      <c r="I73" s="2"/>
      <c r="J73" s="2"/>
      <c r="K73" s="2"/>
    </row>
    <row r="74" spans="1:11" ht="12" customHeight="1" x14ac:dyDescent="0.25">
      <c r="A74" s="26" t="s">
        <v>45</v>
      </c>
      <c r="C74" s="2">
        <v>70.8</v>
      </c>
      <c r="D74" s="2">
        <v>132</v>
      </c>
      <c r="E74" s="2"/>
      <c r="F74" s="2"/>
      <c r="G74" s="2"/>
      <c r="H74" s="2"/>
      <c r="I74" s="2"/>
      <c r="J74" s="2"/>
      <c r="K74" s="2"/>
    </row>
    <row r="75" spans="1:11" ht="12" customHeight="1" x14ac:dyDescent="0.25">
      <c r="A75" s="26" t="s">
        <v>62</v>
      </c>
      <c r="C75" s="2">
        <v>69.5</v>
      </c>
      <c r="D75" s="2">
        <v>129</v>
      </c>
      <c r="E75" s="2"/>
      <c r="F75" s="2"/>
      <c r="G75" s="2"/>
      <c r="H75" s="2"/>
      <c r="I75" s="2"/>
      <c r="J75" s="2"/>
      <c r="K75" s="2"/>
    </row>
    <row r="76" spans="1:11" ht="12" customHeight="1" x14ac:dyDescent="0.25">
      <c r="A76" s="26" t="s">
        <v>63</v>
      </c>
      <c r="C76" s="2">
        <v>75</v>
      </c>
      <c r="D76" s="2">
        <v>139</v>
      </c>
      <c r="E76" s="2"/>
      <c r="F76" s="2"/>
      <c r="G76" s="2"/>
      <c r="H76" s="2"/>
      <c r="I76" s="2"/>
      <c r="J76" s="2"/>
      <c r="K76" s="2"/>
    </row>
    <row r="77" spans="1:11" ht="12" customHeight="1" x14ac:dyDescent="0.25">
      <c r="A77" s="26" t="s">
        <v>64</v>
      </c>
      <c r="C77" s="2">
        <v>72.900000000000006</v>
      </c>
      <c r="D77" s="2">
        <v>135</v>
      </c>
      <c r="E77" s="2"/>
      <c r="F77" s="2"/>
      <c r="G77" s="2"/>
      <c r="H77" s="2"/>
      <c r="I77" s="2"/>
      <c r="J77" s="2"/>
      <c r="K77" s="2"/>
    </row>
    <row r="78" spans="1:11" ht="12" customHeight="1" x14ac:dyDescent="0.25">
      <c r="A78" s="26" t="s">
        <v>46</v>
      </c>
      <c r="C78" s="2">
        <v>72.5</v>
      </c>
      <c r="D78" s="2">
        <v>134</v>
      </c>
      <c r="E78" s="2"/>
      <c r="F78" s="2"/>
      <c r="G78" s="2"/>
      <c r="H78" s="2"/>
      <c r="I78" s="2"/>
      <c r="J78" s="2"/>
      <c r="K78" s="2"/>
    </row>
    <row r="79" spans="1:11" ht="12" customHeight="1" x14ac:dyDescent="0.25">
      <c r="A79" s="26" t="s">
        <v>47</v>
      </c>
      <c r="C79" s="2">
        <v>73.7</v>
      </c>
      <c r="D79" s="2">
        <v>136</v>
      </c>
      <c r="E79" s="2"/>
      <c r="F79" s="2"/>
      <c r="G79" s="2"/>
      <c r="H79" s="2"/>
      <c r="I79" s="2"/>
      <c r="J79" s="2"/>
      <c r="K79" s="2"/>
    </row>
    <row r="80" spans="1:11" ht="12" customHeight="1" x14ac:dyDescent="0.25">
      <c r="A80" s="26" t="s">
        <v>48</v>
      </c>
      <c r="C80" s="2">
        <v>70.7</v>
      </c>
      <c r="D80" s="2">
        <v>121</v>
      </c>
      <c r="E80" s="2"/>
      <c r="F80" s="2"/>
      <c r="G80" s="2"/>
      <c r="H80" s="2"/>
      <c r="I80" s="2"/>
      <c r="J80" s="2"/>
      <c r="K80" s="2"/>
    </row>
    <row r="81" spans="1:11" ht="12" customHeight="1" x14ac:dyDescent="0.25">
      <c r="A81" s="26" t="s">
        <v>66</v>
      </c>
      <c r="C81" s="2">
        <v>73.7</v>
      </c>
      <c r="D81" s="2">
        <v>131</v>
      </c>
      <c r="E81" s="2"/>
      <c r="F81" s="2"/>
      <c r="G81" s="2"/>
      <c r="H81" s="2"/>
      <c r="I81" s="2"/>
      <c r="J81" s="2"/>
      <c r="K81" s="2"/>
    </row>
    <row r="82" spans="1:11" ht="12" customHeight="1" x14ac:dyDescent="0.25">
      <c r="A82" s="26" t="s">
        <v>49</v>
      </c>
      <c r="C82" s="2">
        <v>68.900000000000006</v>
      </c>
      <c r="D82" s="2">
        <v>118</v>
      </c>
      <c r="E82" s="2"/>
      <c r="F82" s="2"/>
      <c r="G82" s="2"/>
      <c r="H82" s="2"/>
      <c r="I82" s="2"/>
      <c r="J82" s="2"/>
      <c r="K82" s="2"/>
    </row>
    <row r="83" spans="1:11" ht="12" customHeight="1" x14ac:dyDescent="0.25">
      <c r="A83" s="26" t="s">
        <v>52</v>
      </c>
      <c r="C83" s="2">
        <v>72.5</v>
      </c>
      <c r="D83" s="2">
        <v>139</v>
      </c>
      <c r="E83" s="2"/>
      <c r="F83" s="2"/>
      <c r="G83" s="2"/>
      <c r="H83" s="2"/>
      <c r="I83" s="2"/>
      <c r="J83" s="2"/>
      <c r="K83" s="2"/>
    </row>
    <row r="84" spans="1:11" ht="12" customHeight="1" x14ac:dyDescent="0.25">
      <c r="A84" s="26" t="s">
        <v>53</v>
      </c>
      <c r="C84" s="2">
        <v>73.5</v>
      </c>
      <c r="D84" s="2">
        <v>137</v>
      </c>
      <c r="E84" s="2"/>
      <c r="F84" s="2"/>
      <c r="G84" s="2"/>
      <c r="H84" s="2"/>
      <c r="I84" s="2"/>
      <c r="J84" s="2"/>
      <c r="K84" s="2"/>
    </row>
    <row r="85" spans="1:11" ht="12" customHeight="1" x14ac:dyDescent="0.25">
      <c r="A85" s="26" t="s">
        <v>59</v>
      </c>
      <c r="C85" s="2">
        <v>70.400000000000006</v>
      </c>
      <c r="D85" s="2">
        <v>128</v>
      </c>
      <c r="E85" s="2"/>
      <c r="F85" s="2"/>
      <c r="G85" s="2"/>
      <c r="H85" s="2"/>
      <c r="I85" s="2"/>
      <c r="J85" s="2"/>
      <c r="K85" s="2"/>
    </row>
    <row r="86" spans="1:11" ht="12" customHeight="1" x14ac:dyDescent="0.25">
      <c r="A86" s="26" t="s">
        <v>60</v>
      </c>
      <c r="C86" s="2">
        <v>70.900000000000006</v>
      </c>
      <c r="D86" s="2">
        <v>130</v>
      </c>
      <c r="E86" s="2"/>
      <c r="F86" s="2"/>
      <c r="G86" s="2"/>
      <c r="H86" s="2"/>
      <c r="I86" s="2"/>
      <c r="J86" s="2"/>
      <c r="K86" s="2"/>
    </row>
    <row r="87" spans="1:11" ht="12" customHeight="1" x14ac:dyDescent="0.25">
      <c r="A87" s="26" t="s">
        <v>61</v>
      </c>
      <c r="B87" s="2" t="s">
        <v>0</v>
      </c>
      <c r="C87" s="2">
        <v>72.599999999999994</v>
      </c>
      <c r="D87" s="2">
        <v>131</v>
      </c>
      <c r="E87" s="2"/>
      <c r="F87" s="2"/>
      <c r="G87" s="2"/>
      <c r="H87" s="2"/>
      <c r="I87" s="2"/>
      <c r="J87" s="2"/>
      <c r="K87" s="2"/>
    </row>
    <row r="88" spans="1:11" ht="12" customHeight="1" x14ac:dyDescent="0.25">
      <c r="A88" s="26" t="s">
        <v>65</v>
      </c>
      <c r="B88" s="2" t="s">
        <v>0</v>
      </c>
      <c r="C88" s="2">
        <v>74.900000000000006</v>
      </c>
      <c r="D88" s="2">
        <v>101.9</v>
      </c>
      <c r="E88" s="2"/>
      <c r="F88" s="2"/>
      <c r="G88" s="2"/>
      <c r="H88" s="2"/>
      <c r="I88" s="2"/>
      <c r="J88" s="2"/>
      <c r="K88" s="2"/>
    </row>
    <row r="89" spans="1:11" ht="12" customHeight="1" x14ac:dyDescent="0.25">
      <c r="A89" s="26" t="s">
        <v>67</v>
      </c>
      <c r="B89" s="2" t="s">
        <v>0</v>
      </c>
      <c r="C89" s="2">
        <v>73.3</v>
      </c>
      <c r="D89" s="2">
        <v>131</v>
      </c>
      <c r="E89" s="2"/>
      <c r="F89" s="2"/>
      <c r="G89" s="2"/>
      <c r="H89" s="2"/>
      <c r="I89" s="2"/>
      <c r="J89" s="2"/>
      <c r="K89" s="2"/>
    </row>
    <row r="90" spans="1:11" ht="12" customHeight="1" x14ac:dyDescent="0.25">
      <c r="A90" s="26" t="s">
        <v>68</v>
      </c>
      <c r="B90" s="2" t="s">
        <v>0</v>
      </c>
      <c r="C90" s="2">
        <v>71.7</v>
      </c>
      <c r="D90" s="2">
        <v>133</v>
      </c>
      <c r="E90" s="2"/>
      <c r="F90" s="2"/>
      <c r="G90" s="2"/>
      <c r="H90" s="2"/>
      <c r="I90" s="2"/>
      <c r="J90" s="2"/>
      <c r="K90" s="2"/>
    </row>
    <row r="91" spans="1:11" ht="12" customHeight="1" x14ac:dyDescent="0.25">
      <c r="A91" s="26" t="s">
        <v>69</v>
      </c>
      <c r="B91" s="2" t="s">
        <v>0</v>
      </c>
      <c r="C91" s="2">
        <v>73.8</v>
      </c>
      <c r="D91" s="2">
        <v>137</v>
      </c>
      <c r="E91" s="2"/>
      <c r="F91" s="2"/>
      <c r="G91" s="2"/>
      <c r="H91" s="2"/>
      <c r="I91" s="2"/>
      <c r="J91" s="2"/>
      <c r="K91" s="2"/>
    </row>
    <row r="92" spans="1:11" ht="12" customHeight="1" x14ac:dyDescent="0.25">
      <c r="A92" s="26" t="s">
        <v>70</v>
      </c>
      <c r="B92" s="2" t="s">
        <v>0</v>
      </c>
      <c r="C92" s="2">
        <v>72.5</v>
      </c>
      <c r="D92" s="2">
        <v>142</v>
      </c>
      <c r="E92" s="2"/>
      <c r="F92" s="2"/>
      <c r="G92" s="2"/>
      <c r="H92" s="2"/>
      <c r="I92" s="2"/>
      <c r="J92" s="2"/>
      <c r="K92" s="2"/>
    </row>
    <row r="93" spans="1:11" ht="12" customHeight="1" x14ac:dyDescent="0.25">
      <c r="A93" s="26" t="s">
        <v>71</v>
      </c>
      <c r="B93" s="2"/>
      <c r="C93" s="2">
        <v>73.400000000000006</v>
      </c>
      <c r="D93" s="2">
        <v>137</v>
      </c>
      <c r="E93" s="2"/>
      <c r="F93" s="2"/>
      <c r="G93" s="2"/>
      <c r="H93" s="2"/>
      <c r="I93" s="2"/>
      <c r="J93" s="2"/>
      <c r="K93" s="2"/>
    </row>
    <row r="94" spans="1:11" ht="12" customHeight="1" x14ac:dyDescent="0.25">
      <c r="A94" s="26" t="s">
        <v>72</v>
      </c>
      <c r="B94" s="2" t="s">
        <v>0</v>
      </c>
      <c r="C94" s="2">
        <v>75.099999999999994</v>
      </c>
      <c r="D94" s="2">
        <v>133</v>
      </c>
      <c r="E94" s="2"/>
      <c r="F94" s="2"/>
      <c r="G94" s="2"/>
      <c r="H94" s="2"/>
      <c r="I94" s="2"/>
      <c r="J94" s="2"/>
      <c r="K94" s="2"/>
    </row>
    <row r="95" spans="1:11" ht="12" customHeight="1" x14ac:dyDescent="0.25">
      <c r="A95" s="26" t="s">
        <v>73</v>
      </c>
      <c r="B95" s="2"/>
      <c r="C95" s="2">
        <v>74</v>
      </c>
      <c r="D95" s="2">
        <v>128</v>
      </c>
      <c r="E95" s="2"/>
      <c r="F95" s="2"/>
      <c r="G95" s="2"/>
      <c r="H95" s="2"/>
      <c r="I95" s="2"/>
      <c r="J95" s="2"/>
      <c r="K95" s="2"/>
    </row>
    <row r="96" spans="1:11" ht="12" customHeight="1" x14ac:dyDescent="0.25">
      <c r="A96" s="26" t="s">
        <v>76</v>
      </c>
      <c r="B96" s="2" t="s">
        <v>0</v>
      </c>
      <c r="C96" s="2">
        <v>70.599999999999994</v>
      </c>
      <c r="D96" s="2">
        <v>130</v>
      </c>
      <c r="E96" s="2"/>
      <c r="F96" s="2"/>
      <c r="G96" s="2"/>
      <c r="H96" s="2"/>
      <c r="I96" s="2"/>
      <c r="J96" s="2"/>
      <c r="K96" s="2"/>
    </row>
    <row r="97" spans="1:58" ht="12" customHeight="1" x14ac:dyDescent="0.25">
      <c r="A97" s="26" t="s">
        <v>82</v>
      </c>
      <c r="B97" s="2" t="s">
        <v>0</v>
      </c>
      <c r="C97" s="2">
        <v>72</v>
      </c>
      <c r="D97" s="2">
        <v>138</v>
      </c>
      <c r="E97" s="2"/>
      <c r="F97" s="2"/>
      <c r="G97" s="2"/>
      <c r="H97" s="2"/>
      <c r="I97" s="2"/>
      <c r="J97" s="2"/>
      <c r="K97" s="2"/>
    </row>
    <row r="98" spans="1:58" ht="12" customHeight="1" x14ac:dyDescent="0.25">
      <c r="A98" s="26" t="s">
        <v>86</v>
      </c>
      <c r="B98" s="2" t="s">
        <v>0</v>
      </c>
      <c r="C98" s="2">
        <v>72.2</v>
      </c>
      <c r="D98" s="2">
        <v>133</v>
      </c>
      <c r="E98" s="2"/>
      <c r="F98" s="2"/>
      <c r="G98" s="2"/>
      <c r="H98" s="2"/>
      <c r="I98" s="2"/>
      <c r="J98" s="2"/>
      <c r="K98" s="2"/>
    </row>
    <row r="99" spans="1:58" ht="12" customHeight="1" x14ac:dyDescent="0.25">
      <c r="A99" s="26" t="s">
        <v>0</v>
      </c>
      <c r="B99" s="2" t="s">
        <v>0</v>
      </c>
      <c r="C99" s="2" t="s">
        <v>0</v>
      </c>
      <c r="D99" s="2"/>
      <c r="E99" s="2"/>
      <c r="F99" s="2"/>
      <c r="G99" s="2"/>
      <c r="H99" s="2"/>
      <c r="I99" s="2"/>
      <c r="J99" s="2"/>
      <c r="K99" s="2"/>
    </row>
    <row r="100" spans="1:58" ht="12" customHeight="1" x14ac:dyDescent="0.25">
      <c r="A100" s="26" t="s">
        <v>0</v>
      </c>
      <c r="B100" s="2" t="s">
        <v>0</v>
      </c>
      <c r="C100" s="2" t="s">
        <v>0</v>
      </c>
      <c r="D100" s="2"/>
      <c r="E100" s="2"/>
      <c r="F100" s="2"/>
      <c r="G100" s="2"/>
      <c r="H100" s="2"/>
      <c r="I100" s="2"/>
      <c r="J100" s="2"/>
      <c r="K100" s="2"/>
    </row>
    <row r="101" spans="1:58" ht="12" customHeight="1" x14ac:dyDescent="0.25">
      <c r="A101" s="2" t="s">
        <v>0</v>
      </c>
      <c r="B101" s="2" t="s">
        <v>0</v>
      </c>
      <c r="C101" s="2" t="s">
        <v>0</v>
      </c>
      <c r="D101" s="2"/>
      <c r="E101" s="2"/>
      <c r="F101" s="2"/>
      <c r="G101" s="2"/>
      <c r="H101" s="2"/>
      <c r="I101" s="2"/>
      <c r="J101" s="2"/>
      <c r="K101" s="2"/>
    </row>
    <row r="102" spans="1:58" ht="12" customHeight="1" x14ac:dyDescent="0.25">
      <c r="A102" s="2" t="s">
        <v>0</v>
      </c>
      <c r="B102" s="2" t="s">
        <v>0</v>
      </c>
      <c r="C102" s="2" t="s">
        <v>0</v>
      </c>
      <c r="D102" s="2"/>
      <c r="E102" s="2"/>
      <c r="F102" s="2"/>
      <c r="G102" s="2"/>
      <c r="H102" s="2"/>
      <c r="I102" s="2"/>
      <c r="J102" s="2"/>
      <c r="K102" s="2"/>
    </row>
    <row r="103" spans="1:58" ht="12" customHeight="1" x14ac:dyDescent="0.25">
      <c r="A103" s="2" t="s">
        <v>0</v>
      </c>
      <c r="B103" s="2" t="s">
        <v>0</v>
      </c>
      <c r="C103" s="2" t="s">
        <v>0</v>
      </c>
      <c r="D103" s="2"/>
      <c r="E103" s="2"/>
      <c r="F103" s="2"/>
      <c r="G103" s="2"/>
      <c r="H103" s="2"/>
      <c r="I103" s="2"/>
      <c r="J103" s="2"/>
      <c r="K103" s="2"/>
    </row>
    <row r="104" spans="1:58" ht="12" customHeight="1" x14ac:dyDescent="0.25">
      <c r="A104" s="2" t="s">
        <v>0</v>
      </c>
      <c r="B104" s="2" t="s">
        <v>0</v>
      </c>
      <c r="C104" s="2" t="s">
        <v>0</v>
      </c>
      <c r="D104" s="2"/>
      <c r="E104" s="2"/>
      <c r="F104" s="2"/>
      <c r="G104" s="2"/>
      <c r="H104" s="2"/>
      <c r="I104" s="2"/>
      <c r="J104" s="2"/>
      <c r="K104" s="2"/>
    </row>
    <row r="105" spans="1:58" ht="12" customHeight="1" x14ac:dyDescent="0.25">
      <c r="A105" s="2" t="s">
        <v>0</v>
      </c>
      <c r="B105" s="2" t="s">
        <v>0</v>
      </c>
      <c r="C105" s="2" t="s">
        <v>0</v>
      </c>
      <c r="D105" s="2"/>
      <c r="E105" s="2"/>
      <c r="F105" s="2"/>
      <c r="G105" s="2"/>
      <c r="H105" s="2"/>
      <c r="I105" s="2"/>
      <c r="J105" s="2"/>
      <c r="K105" s="2"/>
    </row>
    <row r="106" spans="1:58" ht="12" customHeight="1" x14ac:dyDescent="0.25">
      <c r="A106" s="2" t="s">
        <v>0</v>
      </c>
      <c r="B106" s="2" t="s">
        <v>0</v>
      </c>
      <c r="C106" s="2" t="s">
        <v>0</v>
      </c>
      <c r="D106" s="2"/>
      <c r="E106" s="2"/>
      <c r="F106" s="2"/>
      <c r="G106" s="2"/>
      <c r="H106" s="2"/>
      <c r="I106" s="2"/>
      <c r="J106" s="2"/>
      <c r="K106" s="2"/>
    </row>
    <row r="107" spans="1:58" ht="12" customHeight="1" x14ac:dyDescent="0.25">
      <c r="A107" s="2" t="s">
        <v>0</v>
      </c>
      <c r="B107" s="2" t="s">
        <v>0</v>
      </c>
      <c r="C107" s="2" t="s">
        <v>0</v>
      </c>
      <c r="D107" s="2"/>
      <c r="E107" s="2"/>
      <c r="F107" s="2"/>
      <c r="G107" s="2"/>
      <c r="H107" s="2"/>
      <c r="I107" s="2"/>
      <c r="J107" s="2"/>
      <c r="K107" s="2"/>
    </row>
    <row r="108" spans="1:58" ht="12" customHeight="1" x14ac:dyDescent="0.25">
      <c r="A108" s="2"/>
      <c r="B108" s="2" t="s">
        <v>0</v>
      </c>
      <c r="C108" s="2" t="s">
        <v>0</v>
      </c>
      <c r="D108" s="2"/>
      <c r="E108" s="2"/>
      <c r="F108" s="2"/>
      <c r="G108" s="2"/>
      <c r="H108" s="2"/>
      <c r="I108" s="2"/>
      <c r="J108" s="2"/>
      <c r="K108" s="2"/>
      <c r="M108" s="2"/>
      <c r="P108" s="2"/>
      <c r="S108" s="2">
        <f>MAX(S6:S107)</f>
        <v>0</v>
      </c>
      <c r="V108" s="2">
        <f>MAX(V6:V107)</f>
        <v>0</v>
      </c>
      <c r="W108" s="19"/>
      <c r="Y108" s="2">
        <f>MAX(Y6:Y107)</f>
        <v>0</v>
      </c>
      <c r="AB108" s="2">
        <f>MAX(AB6:AB107)</f>
        <v>0</v>
      </c>
      <c r="AE108" s="2">
        <f>MAX(AE6:AE107)</f>
        <v>0</v>
      </c>
      <c r="AH108" s="2">
        <f>MAX(AH6:AH107)</f>
        <v>0</v>
      </c>
      <c r="AK108" s="2">
        <f>MAX(AK6:AK107)</f>
        <v>0</v>
      </c>
      <c r="AN108" s="2">
        <f>MAX(AN6:AN107)</f>
        <v>0</v>
      </c>
      <c r="AQ108" s="2">
        <f>MAX(AQ6:AQ107)</f>
        <v>0</v>
      </c>
      <c r="AT108" s="2">
        <f>MAX(AT6:AT107)</f>
        <v>0</v>
      </c>
      <c r="AW108" s="2">
        <f>MAX(AW6:AW107)</f>
        <v>0</v>
      </c>
      <c r="AZ108" s="2">
        <f>MAX(AZ6:AZ107)</f>
        <v>0</v>
      </c>
      <c r="BC108" s="2">
        <f>MAX(BC6:BC107)</f>
        <v>0</v>
      </c>
      <c r="BF108" s="2">
        <f>MAX(BF6:BF107)</f>
        <v>0</v>
      </c>
    </row>
    <row r="109" spans="1:58" ht="12" customHeight="1" x14ac:dyDescent="0.25">
      <c r="A109" s="2"/>
      <c r="B109" s="2" t="s">
        <v>0</v>
      </c>
      <c r="C109" s="2" t="s">
        <v>0</v>
      </c>
      <c r="D109" s="2"/>
      <c r="E109" s="2"/>
      <c r="F109" s="2"/>
      <c r="G109" s="2"/>
      <c r="H109" s="2"/>
      <c r="I109" s="2"/>
      <c r="J109" s="2"/>
      <c r="K109" s="2"/>
      <c r="M109" s="2"/>
      <c r="P109" s="2"/>
      <c r="S109" s="2">
        <f>MIN(S6:S107)</f>
        <v>0</v>
      </c>
      <c r="V109" s="2">
        <f>MIN(V6:V107)</f>
        <v>0</v>
      </c>
      <c r="Y109" s="2">
        <f>MIN(Y6:Y107)</f>
        <v>0</v>
      </c>
      <c r="AB109" s="2">
        <f>MIN(AB6:AB107)</f>
        <v>0</v>
      </c>
      <c r="AE109" s="2">
        <f>MIN(AE6:AE107)</f>
        <v>0</v>
      </c>
      <c r="AH109" s="2">
        <f>MIN(AH6:AH107)</f>
        <v>0</v>
      </c>
      <c r="AK109" s="2">
        <f>MIN(AK6:AK107)</f>
        <v>0</v>
      </c>
      <c r="AN109" s="2">
        <f>MIN(AN6:AN107)</f>
        <v>0</v>
      </c>
      <c r="AQ109" s="2">
        <f>MIN(AQ6:AQ107)</f>
        <v>0</v>
      </c>
      <c r="AT109" s="2">
        <f>MIN(AT6:AT107)</f>
        <v>0</v>
      </c>
      <c r="AW109" s="2">
        <f>MIN(AW6:AW107)</f>
        <v>0</v>
      </c>
      <c r="AZ109" s="2">
        <f>MIN(AZ6:AZ107)</f>
        <v>0</v>
      </c>
      <c r="BC109" s="2">
        <f>MIN(BC6:BC107)</f>
        <v>0</v>
      </c>
      <c r="BF109" s="2">
        <f>MIN(BF6:BF107)</f>
        <v>0</v>
      </c>
    </row>
    <row r="110" spans="1:58" ht="12" customHeight="1" x14ac:dyDescent="0.25">
      <c r="A110" s="2" t="s">
        <v>0</v>
      </c>
      <c r="B110" s="2" t="s">
        <v>0</v>
      </c>
      <c r="C110" s="2" t="s">
        <v>0</v>
      </c>
      <c r="D110" s="2"/>
      <c r="E110" s="2"/>
      <c r="F110" s="2"/>
      <c r="G110" s="2"/>
      <c r="H110" s="2"/>
      <c r="I110" s="2"/>
      <c r="J110" s="2"/>
      <c r="K110" s="2"/>
    </row>
    <row r="111" spans="1:58" ht="12" customHeight="1" x14ac:dyDescent="0.25">
      <c r="A111" s="2" t="s">
        <v>0</v>
      </c>
      <c r="B111" s="2" t="s">
        <v>0</v>
      </c>
      <c r="C111" s="2" t="s">
        <v>0</v>
      </c>
      <c r="D111" s="2"/>
      <c r="E111" s="2"/>
      <c r="F111" s="2"/>
      <c r="G111" s="2"/>
      <c r="H111" s="2"/>
      <c r="I111" s="2"/>
      <c r="J111" s="2"/>
      <c r="K111" s="2"/>
    </row>
    <row r="112" spans="1:58" ht="12" customHeight="1" x14ac:dyDescent="0.25">
      <c r="A112" s="2" t="s">
        <v>0</v>
      </c>
      <c r="B112" s="2" t="s">
        <v>0</v>
      </c>
      <c r="C112" s="2" t="s">
        <v>0</v>
      </c>
      <c r="D112" s="2"/>
      <c r="E112" s="2"/>
      <c r="F112" s="2"/>
      <c r="G112" s="2"/>
      <c r="H112" s="2"/>
      <c r="I112" s="2"/>
      <c r="J112" s="2"/>
      <c r="K112" s="2"/>
    </row>
    <row r="113" spans="1:11" ht="12" customHeight="1" x14ac:dyDescent="0.25">
      <c r="A113" s="2" t="s">
        <v>0</v>
      </c>
      <c r="B113" s="2" t="s">
        <v>0</v>
      </c>
      <c r="C113" s="2" t="s">
        <v>0</v>
      </c>
      <c r="D113" s="2"/>
      <c r="E113" s="2"/>
      <c r="F113" s="2"/>
      <c r="G113" s="2"/>
      <c r="H113" s="2"/>
      <c r="I113" s="2"/>
      <c r="J113" s="2"/>
      <c r="K113" s="2"/>
    </row>
    <row r="114" spans="1:11" ht="12" customHeight="1" x14ac:dyDescent="0.25">
      <c r="A114" s="2" t="s">
        <v>0</v>
      </c>
      <c r="B114" s="2" t="s">
        <v>0</v>
      </c>
      <c r="C114" s="2" t="s">
        <v>0</v>
      </c>
      <c r="D114" s="2"/>
      <c r="E114" s="2"/>
      <c r="F114" s="2"/>
      <c r="G114" s="2"/>
      <c r="H114" s="2"/>
      <c r="I114" s="2"/>
      <c r="J114" s="2"/>
      <c r="K114" s="2"/>
    </row>
  </sheetData>
  <sortState xmlns:xlrd2="http://schemas.microsoft.com/office/spreadsheetml/2017/richdata2" ref="A25:B43">
    <sortCondition descending="1" ref="B25:B43"/>
  </sortState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I114"/>
  <sheetViews>
    <sheetView topLeftCell="C1" zoomScaleNormal="80" workbookViewId="0">
      <pane ySplit="1" topLeftCell="A2" activePane="bottomLeft" state="frozen"/>
      <selection activeCell="C33" sqref="C33"/>
      <selection pane="bottomLeft" activeCell="AF6" sqref="AF6"/>
    </sheetView>
  </sheetViews>
  <sheetFormatPr defaultColWidth="8.7265625" defaultRowHeight="12" customHeight="1" x14ac:dyDescent="0.25"/>
  <cols>
    <col min="1" max="1" width="7" bestFit="1" customWidth="1"/>
    <col min="2" max="2" width="8.1796875" style="13" bestFit="1" customWidth="1"/>
    <col min="3" max="3" width="4.453125" bestFit="1" customWidth="1"/>
    <col min="4" max="4" width="7" customWidth="1"/>
    <col min="5" max="5" width="6.6328125" style="13" bestFit="1" customWidth="1"/>
    <col min="6" max="6" width="4.81640625" bestFit="1" customWidth="1"/>
    <col min="7" max="7" width="7" bestFit="1" customWidth="1"/>
    <col min="8" max="8" width="6.453125" style="13" bestFit="1" customWidth="1"/>
    <col min="9" max="9" width="4.453125" bestFit="1" customWidth="1"/>
    <col min="10" max="10" width="7" bestFit="1" customWidth="1"/>
    <col min="11" max="11" width="6.7265625" style="13" bestFit="1" customWidth="1"/>
    <col min="12" max="12" width="4.81640625" bestFit="1" customWidth="1"/>
    <col min="13" max="13" width="7" bestFit="1" customWidth="1"/>
    <col min="14" max="14" width="6.453125" style="13" bestFit="1" customWidth="1"/>
    <col min="15" max="15" width="4.81640625" bestFit="1" customWidth="1"/>
    <col min="16" max="16" width="7" bestFit="1" customWidth="1"/>
    <col min="17" max="17" width="6.6328125" style="13" bestFit="1" customWidth="1"/>
    <col min="18" max="18" width="4.81640625" bestFit="1" customWidth="1"/>
    <col min="19" max="19" width="7" bestFit="1" customWidth="1"/>
    <col min="20" max="20" width="6.7265625" style="13" bestFit="1" customWidth="1"/>
    <col min="21" max="21" width="4.81640625" bestFit="1" customWidth="1"/>
    <col min="22" max="22" width="7" bestFit="1" customWidth="1"/>
    <col min="23" max="23" width="6.7265625" style="13" bestFit="1" customWidth="1"/>
    <col min="24" max="24" width="4.81640625" bestFit="1" customWidth="1"/>
    <col min="25" max="25" width="7" bestFit="1" customWidth="1"/>
    <col min="26" max="26" width="6.7265625" style="13" bestFit="1" customWidth="1"/>
    <col min="27" max="27" width="4.81640625" bestFit="1" customWidth="1"/>
    <col min="28" max="28" width="7" bestFit="1" customWidth="1"/>
    <col min="29" max="29" width="6.453125" style="13" bestFit="1" customWidth="1"/>
    <col min="30" max="30" width="4.81640625" bestFit="1" customWidth="1"/>
    <col min="31" max="31" width="7" bestFit="1" customWidth="1"/>
    <col min="32" max="32" width="6.7265625" bestFit="1" customWidth="1"/>
    <col min="33" max="33" width="4.81640625" bestFit="1" customWidth="1"/>
    <col min="34" max="34" width="7" bestFit="1" customWidth="1"/>
    <col min="35" max="35" width="6.453125" bestFit="1" customWidth="1"/>
    <col min="36" max="36" width="4.81640625" bestFit="1" customWidth="1"/>
    <col min="37" max="37" width="7.1796875" bestFit="1" customWidth="1"/>
    <col min="38" max="38" width="6.453125" bestFit="1" customWidth="1"/>
    <col min="39" max="39" width="4.81640625" bestFit="1" customWidth="1"/>
    <col min="40" max="40" width="7" bestFit="1" customWidth="1"/>
    <col min="41" max="41" width="6.453125" customWidth="1"/>
    <col min="42" max="42" width="4.81640625" bestFit="1" customWidth="1"/>
    <col min="43" max="43" width="7" bestFit="1" customWidth="1"/>
    <col min="44" max="44" width="6.453125" bestFit="1" customWidth="1"/>
    <col min="45" max="45" width="4.81640625" bestFit="1" customWidth="1"/>
    <col min="46" max="46" width="7" bestFit="1" customWidth="1"/>
    <col min="47" max="47" width="6.6328125" bestFit="1" customWidth="1"/>
    <col min="48" max="48" width="4.81640625" bestFit="1" customWidth="1"/>
    <col min="49" max="49" width="7" hidden="1" customWidth="1"/>
    <col min="50" max="50" width="6.453125" hidden="1" customWidth="1"/>
    <col min="51" max="51" width="4.81640625" hidden="1" customWidth="1"/>
    <col min="52" max="52" width="6.6328125" bestFit="1" customWidth="1"/>
    <col min="53" max="53" width="5.81640625" bestFit="1" customWidth="1"/>
    <col min="54" max="54" width="4.7265625" bestFit="1" customWidth="1"/>
    <col min="55" max="56" width="6.6328125" bestFit="1" customWidth="1"/>
    <col min="57" max="57" width="4.81640625" bestFit="1" customWidth="1"/>
    <col min="58" max="58" width="6.6328125" bestFit="1" customWidth="1"/>
    <col min="59" max="59" width="5.81640625" bestFit="1" customWidth="1"/>
    <col min="60" max="60" width="6.1796875" bestFit="1" customWidth="1"/>
  </cols>
  <sheetData>
    <row r="1" spans="1:61" ht="12.75" customHeight="1" x14ac:dyDescent="0.3">
      <c r="A1" s="66" t="s">
        <v>7</v>
      </c>
      <c r="B1" s="66"/>
      <c r="C1" s="66"/>
      <c r="D1" s="66" t="s">
        <v>8</v>
      </c>
      <c r="E1" s="66"/>
      <c r="F1" s="66"/>
      <c r="G1" s="66" t="s">
        <v>9</v>
      </c>
      <c r="H1" s="66"/>
      <c r="I1" s="66"/>
      <c r="J1" s="66" t="s">
        <v>10</v>
      </c>
      <c r="K1" s="66"/>
      <c r="L1" s="66"/>
      <c r="M1" s="66" t="s">
        <v>11</v>
      </c>
      <c r="N1" s="66"/>
      <c r="O1" s="66"/>
      <c r="P1" s="66" t="s">
        <v>12</v>
      </c>
      <c r="Q1" s="66"/>
      <c r="R1" s="66"/>
      <c r="S1" s="66" t="s">
        <v>13</v>
      </c>
      <c r="T1" s="66"/>
      <c r="U1" s="66"/>
      <c r="V1" s="66" t="s">
        <v>14</v>
      </c>
      <c r="W1" s="66"/>
      <c r="X1" s="66"/>
      <c r="Y1" s="66" t="s">
        <v>21</v>
      </c>
      <c r="Z1" s="66"/>
      <c r="AA1" s="66"/>
      <c r="AB1" s="66" t="s">
        <v>20</v>
      </c>
      <c r="AC1" s="66"/>
      <c r="AD1" s="66"/>
      <c r="AE1" s="66" t="s">
        <v>15</v>
      </c>
      <c r="AF1" s="66"/>
      <c r="AG1" s="66"/>
      <c r="AH1" s="66" t="s">
        <v>16</v>
      </c>
      <c r="AI1" s="66"/>
      <c r="AJ1" s="66"/>
      <c r="AK1" s="66" t="s">
        <v>17</v>
      </c>
      <c r="AL1" s="66"/>
      <c r="AM1" s="66"/>
      <c r="AN1" s="66" t="s">
        <v>19</v>
      </c>
      <c r="AO1" s="66"/>
      <c r="AP1" s="66"/>
      <c r="AQ1" s="66" t="s">
        <v>22</v>
      </c>
      <c r="AR1" s="66"/>
      <c r="AS1" s="66"/>
      <c r="AT1" s="66" t="s">
        <v>23</v>
      </c>
      <c r="AU1" s="66"/>
      <c r="AV1" s="66"/>
      <c r="AW1" s="66" t="s">
        <v>40</v>
      </c>
      <c r="AX1" s="66"/>
      <c r="AY1" s="66"/>
      <c r="AZ1" s="66" t="s">
        <v>39</v>
      </c>
      <c r="BA1" s="66"/>
      <c r="BB1" s="66"/>
      <c r="BC1" s="66" t="s">
        <v>41</v>
      </c>
      <c r="BD1" s="66"/>
      <c r="BE1" s="66"/>
      <c r="BF1" s="66" t="s">
        <v>50</v>
      </c>
      <c r="BG1" s="66"/>
      <c r="BH1" s="66"/>
    </row>
    <row r="2" spans="1:61" ht="12.75" customHeight="1" x14ac:dyDescent="0.3">
      <c r="A2" s="5" t="s">
        <v>1</v>
      </c>
      <c r="B2" s="12" t="s">
        <v>6</v>
      </c>
      <c r="C2" s="6" t="s">
        <v>5</v>
      </c>
      <c r="D2" s="7" t="s">
        <v>1</v>
      </c>
      <c r="E2" s="12" t="s">
        <v>6</v>
      </c>
      <c r="F2" s="6" t="s">
        <v>5</v>
      </c>
      <c r="G2" s="7" t="s">
        <v>1</v>
      </c>
      <c r="H2" s="12" t="s">
        <v>6</v>
      </c>
      <c r="I2" s="6" t="s">
        <v>5</v>
      </c>
      <c r="J2" s="7" t="s">
        <v>1</v>
      </c>
      <c r="K2" s="12" t="s">
        <v>6</v>
      </c>
      <c r="L2" s="6" t="s">
        <v>5</v>
      </c>
      <c r="M2" s="7" t="s">
        <v>1</v>
      </c>
      <c r="N2" s="12" t="s">
        <v>6</v>
      </c>
      <c r="O2" s="6" t="s">
        <v>5</v>
      </c>
      <c r="P2" s="7" t="s">
        <v>1</v>
      </c>
      <c r="Q2" s="12" t="s">
        <v>6</v>
      </c>
      <c r="R2" s="6" t="s">
        <v>5</v>
      </c>
      <c r="S2" s="7" t="s">
        <v>1</v>
      </c>
      <c r="T2" s="12" t="s">
        <v>6</v>
      </c>
      <c r="U2" s="6" t="s">
        <v>5</v>
      </c>
      <c r="V2" s="7" t="s">
        <v>1</v>
      </c>
      <c r="W2" s="12" t="s">
        <v>6</v>
      </c>
      <c r="X2" s="6" t="s">
        <v>5</v>
      </c>
      <c r="Y2" s="7" t="s">
        <v>1</v>
      </c>
      <c r="Z2" s="12" t="s">
        <v>6</v>
      </c>
      <c r="AA2" s="6" t="s">
        <v>5</v>
      </c>
      <c r="AB2" s="7" t="s">
        <v>1</v>
      </c>
      <c r="AC2" s="12" t="s">
        <v>6</v>
      </c>
      <c r="AD2" s="6" t="s">
        <v>5</v>
      </c>
      <c r="AE2" s="7" t="s">
        <v>1</v>
      </c>
      <c r="AF2" s="12" t="s">
        <v>6</v>
      </c>
      <c r="AG2" s="6" t="s">
        <v>5</v>
      </c>
      <c r="AH2" s="7" t="s">
        <v>1</v>
      </c>
      <c r="AI2" s="12" t="s">
        <v>6</v>
      </c>
      <c r="AJ2" s="6" t="s">
        <v>5</v>
      </c>
      <c r="AK2" s="7" t="s">
        <v>1</v>
      </c>
      <c r="AL2" s="12" t="s">
        <v>6</v>
      </c>
      <c r="AM2" s="6" t="s">
        <v>5</v>
      </c>
      <c r="AN2" s="7" t="s">
        <v>1</v>
      </c>
      <c r="AO2" s="12" t="s">
        <v>6</v>
      </c>
      <c r="AP2" s="6" t="s">
        <v>5</v>
      </c>
      <c r="AQ2" s="7" t="s">
        <v>1</v>
      </c>
      <c r="AR2" s="12" t="s">
        <v>6</v>
      </c>
      <c r="AS2" s="6" t="s">
        <v>5</v>
      </c>
      <c r="AT2" s="7" t="s">
        <v>1</v>
      </c>
      <c r="AU2" s="12" t="s">
        <v>6</v>
      </c>
      <c r="AV2" s="6" t="s">
        <v>5</v>
      </c>
      <c r="AW2" s="7" t="s">
        <v>1</v>
      </c>
      <c r="AX2" s="12" t="s">
        <v>6</v>
      </c>
      <c r="AY2" s="6" t="s">
        <v>5</v>
      </c>
      <c r="AZ2" s="7" t="s">
        <v>1</v>
      </c>
      <c r="BA2" s="12" t="s">
        <v>6</v>
      </c>
      <c r="BB2" s="6" t="s">
        <v>5</v>
      </c>
      <c r="BC2" s="7" t="s">
        <v>1</v>
      </c>
      <c r="BD2" s="12" t="s">
        <v>6</v>
      </c>
      <c r="BE2" s="6" t="s">
        <v>5</v>
      </c>
      <c r="BF2" s="7" t="s">
        <v>1</v>
      </c>
      <c r="BG2" s="12" t="s">
        <v>6</v>
      </c>
      <c r="BH2" s="6" t="s">
        <v>5</v>
      </c>
    </row>
    <row r="3" spans="1:61" ht="12.75" customHeight="1" x14ac:dyDescent="0.3">
      <c r="A3" s="9">
        <f>SUM(A4:A200)</f>
        <v>0</v>
      </c>
      <c r="B3" s="14"/>
      <c r="C3" s="8">
        <f>C5</f>
        <v>4.833333333333333</v>
      </c>
      <c r="D3" s="9">
        <f>SUM(D4:D200)</f>
        <v>-5050</v>
      </c>
      <c r="E3" s="14"/>
      <c r="F3" s="8">
        <f>F5</f>
        <v>5.166666666666667</v>
      </c>
      <c r="G3" s="9">
        <f>SUM(G4:G200)</f>
        <v>12900</v>
      </c>
      <c r="H3" s="14"/>
      <c r="I3" s="8">
        <f>I5</f>
        <v>1.5</v>
      </c>
      <c r="J3" s="9">
        <f>SUM(J4:J200)</f>
        <v>10400</v>
      </c>
      <c r="K3" s="14"/>
      <c r="L3" s="8">
        <f>L5</f>
        <v>12.333333333333334</v>
      </c>
      <c r="M3" s="9">
        <f>SUM(M4:M200)</f>
        <v>6000</v>
      </c>
      <c r="N3" s="14"/>
      <c r="O3" s="8">
        <f>O5</f>
        <v>13.666666666666666</v>
      </c>
      <c r="P3" s="9">
        <f>SUM(P4:P200)</f>
        <v>-24700</v>
      </c>
      <c r="Q3" s="14"/>
      <c r="R3" s="8">
        <f>R5</f>
        <v>13.066666666666668</v>
      </c>
      <c r="S3" s="9">
        <f>SUM(S4:S200)</f>
        <v>4900</v>
      </c>
      <c r="T3" s="14"/>
      <c r="U3" s="8">
        <f>U5</f>
        <v>15</v>
      </c>
      <c r="V3" s="9">
        <f>SUM(V4:V200)</f>
        <v>17900</v>
      </c>
      <c r="W3" s="14"/>
      <c r="X3" s="8">
        <f>X5</f>
        <v>8.1666666666666661</v>
      </c>
      <c r="Y3" s="9">
        <f>SUM(Y4:Y200)</f>
        <v>-5530</v>
      </c>
      <c r="Z3" s="14"/>
      <c r="AA3" s="8">
        <f>AA5</f>
        <v>15.333333333333334</v>
      </c>
      <c r="AB3" s="9">
        <f>SUM(AB4:AB200)</f>
        <v>-2100</v>
      </c>
      <c r="AC3" s="14"/>
      <c r="AD3" s="8">
        <f>AD5</f>
        <v>7.5</v>
      </c>
      <c r="AE3" s="9">
        <f>SUM(AE4:AE200)</f>
        <v>8500</v>
      </c>
      <c r="AF3" s="14"/>
      <c r="AG3" s="8">
        <f>AG5</f>
        <v>5.166666666666667</v>
      </c>
      <c r="AH3" s="9">
        <f>SUM(AH4:AH200)</f>
        <v>2100</v>
      </c>
      <c r="AI3" s="14"/>
      <c r="AJ3" s="8">
        <f>AJ5</f>
        <v>12.283333333333333</v>
      </c>
      <c r="AK3" s="9">
        <f>SUM(AK4:AK200)</f>
        <v>-580</v>
      </c>
      <c r="AL3" s="14"/>
      <c r="AM3" s="8">
        <f>AM5</f>
        <v>14.933333333333332</v>
      </c>
      <c r="AN3" s="9">
        <f>SUM(AN4:AN200)</f>
        <v>4510</v>
      </c>
      <c r="AO3" s="14"/>
      <c r="AP3" s="8">
        <f>AP5</f>
        <v>11.666666666666666</v>
      </c>
      <c r="AQ3" s="9">
        <f>SUM(AQ4:AQ200)</f>
        <v>-1500</v>
      </c>
      <c r="AR3" s="14"/>
      <c r="AS3" s="8">
        <f>AS5</f>
        <v>12.833333333333334</v>
      </c>
      <c r="AT3" s="9">
        <f>SUM(AT4:AT200)</f>
        <v>-2300</v>
      </c>
      <c r="AU3" s="14"/>
      <c r="AV3" s="8">
        <f>AV5</f>
        <v>12.5</v>
      </c>
      <c r="AW3" s="9">
        <f>SUM(AW4:AW16)</f>
        <v>-200</v>
      </c>
      <c r="AX3" s="14"/>
      <c r="AY3" s="8">
        <f>AY5</f>
        <v>0</v>
      </c>
      <c r="AZ3" s="9">
        <f>SUM(AZ4:AZ200)</f>
        <v>-13400</v>
      </c>
      <c r="BA3" s="14"/>
      <c r="BB3" s="8">
        <f>BB5</f>
        <v>11</v>
      </c>
      <c r="BC3" s="9">
        <f>SUM(BC4:BC200)</f>
        <v>-4350</v>
      </c>
      <c r="BD3" s="14"/>
      <c r="BE3" s="8">
        <f>BE5</f>
        <v>14.333333333333334</v>
      </c>
      <c r="BF3" s="9">
        <f>SUM(BF4:BF200)</f>
        <v>-3300</v>
      </c>
      <c r="BG3" s="14"/>
      <c r="BH3" s="8">
        <f>BH5</f>
        <v>14.833333333333334</v>
      </c>
      <c r="BI3" s="9"/>
    </row>
    <row r="4" spans="1:61" ht="12.75" customHeight="1" x14ac:dyDescent="0.25">
      <c r="A4" s="16"/>
      <c r="B4" s="24"/>
      <c r="C4" s="10"/>
      <c r="D4" s="16"/>
      <c r="E4" s="24"/>
      <c r="F4" s="10"/>
      <c r="G4" s="16"/>
      <c r="H4" s="24"/>
      <c r="I4" s="10"/>
      <c r="J4" s="16"/>
      <c r="K4" s="24"/>
      <c r="L4" s="10"/>
      <c r="M4" s="16"/>
      <c r="N4" s="24"/>
      <c r="O4" s="10"/>
      <c r="P4" s="16"/>
      <c r="Q4" s="24"/>
      <c r="R4" s="10"/>
      <c r="S4" s="16"/>
      <c r="T4" s="24"/>
      <c r="U4" s="10"/>
      <c r="V4" s="16"/>
      <c r="W4" s="24"/>
      <c r="X4" s="10"/>
      <c r="Y4" s="16"/>
      <c r="Z4" s="24"/>
      <c r="AA4" s="10"/>
      <c r="AB4" s="16"/>
      <c r="AC4" s="24"/>
      <c r="AD4" s="10"/>
      <c r="AE4" s="16"/>
      <c r="AF4" s="24"/>
      <c r="AG4" s="10"/>
      <c r="AH4" s="16"/>
      <c r="AI4" s="24"/>
      <c r="AJ4" s="10"/>
      <c r="AK4" s="16"/>
      <c r="AL4" s="24"/>
      <c r="AM4" s="10"/>
      <c r="AN4" s="16"/>
      <c r="AO4" s="24"/>
      <c r="AP4" s="10"/>
      <c r="AQ4" s="16"/>
      <c r="AR4" s="24"/>
      <c r="AS4" s="10"/>
      <c r="AT4" s="16"/>
      <c r="AU4" s="24"/>
      <c r="AV4" s="10"/>
      <c r="AW4" s="16"/>
      <c r="AX4" s="24"/>
      <c r="AY4" s="10"/>
      <c r="AZ4" s="16"/>
      <c r="BA4" s="24"/>
      <c r="BB4" s="10"/>
      <c r="BC4" s="16"/>
      <c r="BD4" s="24"/>
      <c r="BE4" s="10"/>
      <c r="BF4" s="16"/>
      <c r="BG4" s="24"/>
      <c r="BH4" s="10"/>
    </row>
    <row r="5" spans="1:61" ht="12.75" customHeight="1" x14ac:dyDescent="0.25">
      <c r="A5" s="36"/>
      <c r="B5" s="36">
        <v>3</v>
      </c>
      <c r="C5" s="62">
        <f>SUM(SMALL(B5:B16,{1,2,3,4,5,6}))/6</f>
        <v>4.833333333333333</v>
      </c>
      <c r="D5" s="36"/>
      <c r="E5" s="36">
        <v>6</v>
      </c>
      <c r="F5" s="62">
        <f>SUM(SMALL(E5:E16,{1,2,3,4,5,6}))/6</f>
        <v>5.166666666666667</v>
      </c>
      <c r="G5" s="36"/>
      <c r="H5" s="36">
        <v>3</v>
      </c>
      <c r="I5" s="62">
        <f>SUM(SMALL(H5:H16,{1,2,3,4,5,6}))/6</f>
        <v>1.5</v>
      </c>
      <c r="J5" s="36"/>
      <c r="K5" s="36">
        <v>16</v>
      </c>
      <c r="L5" s="62">
        <f>SUM(SMALL(K5:K16,{1,2,3,4,5,6}))/6</f>
        <v>12.333333333333334</v>
      </c>
      <c r="M5" s="36"/>
      <c r="N5" s="36">
        <v>24</v>
      </c>
      <c r="O5" s="62">
        <f>SUM(SMALL(N5:N16,{1,2,3,4,5,6}))/6</f>
        <v>13.666666666666666</v>
      </c>
      <c r="P5" s="36">
        <v>-2000</v>
      </c>
      <c r="Q5" s="36">
        <v>17</v>
      </c>
      <c r="R5" s="62">
        <f>SUM(SMALL(Q5:Q16,{1,2,3,4,5,6}))/6</f>
        <v>13.066666666666668</v>
      </c>
      <c r="S5" s="36">
        <v>-1000</v>
      </c>
      <c r="T5" s="36">
        <v>18</v>
      </c>
      <c r="U5" s="62">
        <f>SUM(SMALL(T5:T16,{1,2,3,4,5,6}))/6</f>
        <v>15</v>
      </c>
      <c r="V5" s="36"/>
      <c r="W5" s="36">
        <v>21</v>
      </c>
      <c r="X5" s="62">
        <f>SUM(SMALL(W5:W16,{1,2,3,4,5,6}))/6</f>
        <v>8.1666666666666661</v>
      </c>
      <c r="Y5" s="64"/>
      <c r="Z5" s="36">
        <v>24</v>
      </c>
      <c r="AA5" s="62">
        <f>SUM(SMALL(Z5:Z16,{1,2,3,4,5,6}))/6</f>
        <v>15.333333333333334</v>
      </c>
      <c r="AB5" s="36"/>
      <c r="AC5" s="36">
        <v>13</v>
      </c>
      <c r="AD5" s="62">
        <f>SUM(SMALL(AC5:AC16,{1,2,3,4,5,6}))/6</f>
        <v>7.5</v>
      </c>
      <c r="AE5" s="64"/>
      <c r="AF5" s="36">
        <v>4</v>
      </c>
      <c r="AG5" s="62">
        <f>SUM(SMALL(AF5:AF16,{1,2,3,4,5,6}))/6</f>
        <v>5.166666666666667</v>
      </c>
      <c r="AH5" s="36">
        <v>600</v>
      </c>
      <c r="AI5" s="36">
        <v>15</v>
      </c>
      <c r="AJ5" s="62">
        <f>SUM(SMALL(AI5:AI16,{1,2,3,4,5,6}))/6</f>
        <v>12.283333333333333</v>
      </c>
      <c r="AK5" s="64">
        <v>-900</v>
      </c>
      <c r="AL5" s="36">
        <v>17</v>
      </c>
      <c r="AM5" s="62">
        <f>SUM(SMALL(AL5:AL16,{1,2,3,4,5,6}))/6</f>
        <v>14.933333333333332</v>
      </c>
      <c r="AN5" s="36">
        <v>2000</v>
      </c>
      <c r="AO5" s="36">
        <v>14</v>
      </c>
      <c r="AP5" s="62">
        <f>SUM(SMALL(AO5:AO16,{1,2,3,4,5,6}))/6</f>
        <v>11.666666666666666</v>
      </c>
      <c r="AQ5" s="36"/>
      <c r="AR5" s="36">
        <v>18</v>
      </c>
      <c r="AS5" s="62">
        <f>SUM(SMALL(AR5:AR16,{1,2,3,4,5,6}))/6</f>
        <v>12.833333333333334</v>
      </c>
      <c r="AT5" s="64"/>
      <c r="AU5" s="36">
        <v>14</v>
      </c>
      <c r="AV5" s="62">
        <f>SUM(SMALL(AU5:AU16,{1,2,3,4,5,6}))/6</f>
        <v>12.5</v>
      </c>
      <c r="AW5" s="36"/>
      <c r="AX5" s="36"/>
      <c r="AY5" s="62"/>
      <c r="AZ5" s="36">
        <v>900</v>
      </c>
      <c r="BA5" s="36">
        <v>13</v>
      </c>
      <c r="BB5" s="62">
        <f>SUM(SMALL(BA5:BA16,{1,2,3,4,5,6}))/6</f>
        <v>11</v>
      </c>
      <c r="BC5" s="36"/>
      <c r="BD5" s="36">
        <v>16</v>
      </c>
      <c r="BE5" s="62">
        <f>SUM(SMALL(BD5:BD16,{1,2,3,4,5,6}))/6</f>
        <v>14.333333333333334</v>
      </c>
      <c r="BF5" s="36">
        <v>900</v>
      </c>
      <c r="BG5" s="36">
        <v>22</v>
      </c>
      <c r="BH5" s="62">
        <f>SUM(SMALL(BG5:BG16,{1,2,3,4,5,6}))/6</f>
        <v>14.833333333333334</v>
      </c>
    </row>
    <row r="6" spans="1:61" ht="12.75" customHeight="1" x14ac:dyDescent="0.25">
      <c r="A6" s="36"/>
      <c r="B6" s="36">
        <v>8</v>
      </c>
      <c r="C6" s="62">
        <f>SUM(SMALL(B6:B17,{1,2,3,4,5,6}))/6</f>
        <v>5.166666666666667</v>
      </c>
      <c r="D6" s="36">
        <v>600</v>
      </c>
      <c r="E6" s="36">
        <v>6</v>
      </c>
      <c r="F6" s="62">
        <f>SUM(SMALL(E6:E17,{1,2,3,4,5,6}))/6</f>
        <v>5.5</v>
      </c>
      <c r="G6" s="36">
        <v>-600</v>
      </c>
      <c r="H6" s="36">
        <v>3</v>
      </c>
      <c r="I6" s="62">
        <f>SUM(SMALL(H6:H17,{1,2,3,4,5,6}))/6</f>
        <v>1.3333333333333333</v>
      </c>
      <c r="J6" s="36"/>
      <c r="K6" s="36">
        <v>16</v>
      </c>
      <c r="L6" s="62">
        <f>SUM(SMALL(K6:K17,{1,2,3,4,5,6}))/6</f>
        <v>11</v>
      </c>
      <c r="M6" s="36"/>
      <c r="N6" s="36">
        <v>9</v>
      </c>
      <c r="O6" s="62">
        <f>SUM(SMALL(N6:N17,{1,2,3,4,5,6}))/6</f>
        <v>13.666666666666666</v>
      </c>
      <c r="P6" s="36"/>
      <c r="Q6" s="36">
        <v>15</v>
      </c>
      <c r="R6" s="62">
        <f>SUM(SMALL(Q6:Q17,{1,2,3,4,5,6}))/6</f>
        <v>12.233333333333334</v>
      </c>
      <c r="S6" s="36"/>
      <c r="T6" s="36">
        <v>15</v>
      </c>
      <c r="U6" s="62">
        <f>SUM(SMALL(T6:T17,{1,2,3,4,5,6}))/6</f>
        <v>15</v>
      </c>
      <c r="V6" s="36"/>
      <c r="W6" s="36">
        <v>12</v>
      </c>
      <c r="X6" s="62">
        <f>SUM(SMALL(W6:W17,{1,2,3,4,5,6}))/6</f>
        <v>8.1666666666666661</v>
      </c>
      <c r="Y6" s="64"/>
      <c r="Z6" s="36">
        <v>19</v>
      </c>
      <c r="AA6" s="62">
        <f>SUM(SMALL(Z6:Z17,{1,2,3,4,5,6}))/6</f>
        <v>14.666666666666666</v>
      </c>
      <c r="AB6" s="36"/>
      <c r="AC6" s="36">
        <v>17</v>
      </c>
      <c r="AD6" s="62">
        <f>SUM(SMALL(AC6:AC17,{1,2,3,4,5,6}))/6</f>
        <v>7.5</v>
      </c>
      <c r="AE6" s="64">
        <v>-900</v>
      </c>
      <c r="AF6" s="36">
        <v>12</v>
      </c>
      <c r="AG6" s="62">
        <f>SUM(SMALL(AF6:AF17,{1,2,3,4,5,6}))/6</f>
        <v>5.5</v>
      </c>
      <c r="AH6" s="36">
        <v>3000</v>
      </c>
      <c r="AI6" s="36">
        <v>15</v>
      </c>
      <c r="AJ6" s="62">
        <f>SUM(SMALL(AI6:AI17,{1,2,3,4,5,6}))/6</f>
        <v>12.283333333333333</v>
      </c>
      <c r="AK6" s="64"/>
      <c r="AL6" s="36">
        <v>14</v>
      </c>
      <c r="AM6" s="62">
        <f>SUM(SMALL(AL6:AL17,{1,2,3,4,5,6}))/6</f>
        <v>13.6</v>
      </c>
      <c r="AN6" s="36"/>
      <c r="AO6" s="36">
        <v>13</v>
      </c>
      <c r="AP6" s="62">
        <f>SUM(SMALL(AO6:AO17,{1,2,3,4,5,6}))/6</f>
        <v>11.666666666666666</v>
      </c>
      <c r="AQ6" s="36"/>
      <c r="AR6" s="36">
        <v>20</v>
      </c>
      <c r="AS6" s="62">
        <f>SUM(SMALL(AR6:AR17,{1,2,3,4,5,6}))/6</f>
        <v>12.333333333333334</v>
      </c>
      <c r="AT6" s="64"/>
      <c r="AU6" s="36">
        <v>18</v>
      </c>
      <c r="AV6" s="62">
        <f>SUM(SMALL(AU6:AU17,{1,2,3,4,5,6}))/6</f>
        <v>12.833333333333334</v>
      </c>
      <c r="AW6" s="36"/>
      <c r="AX6" s="36"/>
      <c r="AY6" s="62"/>
      <c r="AZ6" s="36">
        <v>-600</v>
      </c>
      <c r="BA6" s="36">
        <v>15</v>
      </c>
      <c r="BB6" s="62">
        <f>SUM(SMALL(BA6:BA17,{1,2,3,4,5,6}))/6</f>
        <v>11</v>
      </c>
      <c r="BC6" s="36">
        <v>2000</v>
      </c>
      <c r="BD6" s="36">
        <v>14</v>
      </c>
      <c r="BE6" s="62">
        <f>SUM(SMALL(BD6:BD17,{1,2,3,4,5,6}))/6</f>
        <v>14.333333333333334</v>
      </c>
      <c r="BF6" s="36"/>
      <c r="BG6" s="36">
        <v>15</v>
      </c>
      <c r="BH6" s="62">
        <f>SUM(SMALL(BG6:BG17,{1,2,3,4,5,6}))/6</f>
        <v>14.5</v>
      </c>
    </row>
    <row r="7" spans="1:61" ht="12.75" customHeight="1" x14ac:dyDescent="0.25">
      <c r="A7" s="36"/>
      <c r="B7" s="36">
        <v>15</v>
      </c>
      <c r="C7" s="62">
        <f>SUM(SMALL(B7:B18,{1,2,3,4,5,6}))/6</f>
        <v>5</v>
      </c>
      <c r="D7" s="36"/>
      <c r="E7" s="36">
        <v>9</v>
      </c>
      <c r="F7" s="62">
        <f>SUM(SMALL(E7:E18,{1,2,3,4,5,6}))/6</f>
        <v>5.833333333333333</v>
      </c>
      <c r="G7" s="36"/>
      <c r="H7" s="36">
        <v>4</v>
      </c>
      <c r="I7" s="62">
        <f>SUM(SMALL(H7:H18,{1,2,3,4,5,6}))/6</f>
        <v>1.5</v>
      </c>
      <c r="J7" s="36"/>
      <c r="K7" s="36">
        <v>17</v>
      </c>
      <c r="L7" s="62">
        <f>SUM(SMALL(K7:K18,{1,2,3,4,5,6}))/6</f>
        <v>11</v>
      </c>
      <c r="M7" s="36"/>
      <c r="N7" s="36">
        <v>15</v>
      </c>
      <c r="O7" s="62">
        <f>SUM(SMALL(N7:N18,{1,2,3,4,5,6}))/6</f>
        <v>15</v>
      </c>
      <c r="P7" s="36">
        <v>-2700</v>
      </c>
      <c r="Q7" s="36">
        <v>18</v>
      </c>
      <c r="R7" s="62">
        <f>SUM(SMALL(Q7:Q18,{1,2,3,4,5,6}))/6</f>
        <v>10.9</v>
      </c>
      <c r="S7" s="36">
        <v>0</v>
      </c>
      <c r="T7" s="36">
        <v>18</v>
      </c>
      <c r="U7" s="62">
        <f>SUM(SMALL(T7:T18,{1,2,3,4,5,6}))/6</f>
        <v>15.333333333333334</v>
      </c>
      <c r="V7" s="36"/>
      <c r="W7" s="36">
        <v>18</v>
      </c>
      <c r="X7" s="62">
        <f>SUM(SMALL(W7:W18,{1,2,3,4,5,6}))/6</f>
        <v>8.1666666666666661</v>
      </c>
      <c r="Y7" s="64"/>
      <c r="Z7" s="36">
        <v>21</v>
      </c>
      <c r="AA7" s="62">
        <f>SUM(SMALL(Z7:Z18,{1,2,3,4,5,6}))/6</f>
        <v>14.666666666666666</v>
      </c>
      <c r="AB7" s="36"/>
      <c r="AC7" s="36">
        <v>9</v>
      </c>
      <c r="AD7" s="62">
        <f>SUM(SMALL(AC7:AC18,{1,2,3,4,5,6}))/6</f>
        <v>7.5</v>
      </c>
      <c r="AE7" s="64"/>
      <c r="AF7" s="36">
        <v>5</v>
      </c>
      <c r="AG7" s="62">
        <f>SUM(SMALL(AF7:AF18,{1,2,3,4,5,6}))/6</f>
        <v>5.5</v>
      </c>
      <c r="AH7" s="36"/>
      <c r="AI7" s="36">
        <f>17*0.8</f>
        <v>13.600000000000001</v>
      </c>
      <c r="AJ7" s="62">
        <f>SUM(SMALL(AI7:AI18,{1,2,3,4,5,6}))/6</f>
        <v>12.283333333333333</v>
      </c>
      <c r="AK7" s="64"/>
      <c r="AL7" s="36">
        <v>17</v>
      </c>
      <c r="AM7" s="62">
        <f>SUM(SMALL(AL7:AL18,{1,2,3,4,5,6}))/6</f>
        <v>12.866666666666667</v>
      </c>
      <c r="AN7" s="36"/>
      <c r="AO7" s="36">
        <v>13</v>
      </c>
      <c r="AP7" s="62">
        <f>SUM(SMALL(AO7:AO18,{1,2,3,4,5,6}))/6</f>
        <v>11.700000000000001</v>
      </c>
      <c r="AQ7" s="36">
        <v>-1800</v>
      </c>
      <c r="AR7" s="36">
        <v>19</v>
      </c>
      <c r="AS7" s="62">
        <f>SUM(SMALL(AR7:AR18,{1,2,3,4,5,6}))/6</f>
        <v>11.166666666666666</v>
      </c>
      <c r="AT7" s="64"/>
      <c r="AU7" s="36">
        <v>16</v>
      </c>
      <c r="AV7" s="62">
        <f>SUM(SMALL(AU7:AU18,{1,2,3,4,5,6}))/6</f>
        <v>12.666666666666666</v>
      </c>
      <c r="AW7" s="36"/>
      <c r="AX7" s="36"/>
      <c r="AY7" s="62"/>
      <c r="AZ7" s="36"/>
      <c r="BA7" s="36">
        <v>10</v>
      </c>
      <c r="BB7" s="62">
        <f>SUM(SMALL(BA7:BA18,{1,2,3,4,5,6}))/6</f>
        <v>10.5</v>
      </c>
      <c r="BC7" s="36"/>
      <c r="BD7" s="36">
        <v>20</v>
      </c>
      <c r="BE7" s="62">
        <f>SUM(SMALL(BD7:BD18,{1,2,3,4,5,6}))/6</f>
        <v>14.833333333333334</v>
      </c>
      <c r="BF7" s="36"/>
      <c r="BG7" s="36">
        <v>17</v>
      </c>
      <c r="BH7" s="62">
        <f>SUM(SMALL(BG7:BG18,{1,2,3,4,5,6}))/6</f>
        <v>13.5</v>
      </c>
    </row>
    <row r="8" spans="1:61" ht="12.75" customHeight="1" x14ac:dyDescent="0.25">
      <c r="A8" s="36">
        <v>-3000</v>
      </c>
      <c r="B8" s="36">
        <v>10</v>
      </c>
      <c r="C8" s="62">
        <f>SUM(SMALL(B8:B19,{1,2,3,4,5,6}))/6</f>
        <v>5</v>
      </c>
      <c r="D8" s="36">
        <v>-3000</v>
      </c>
      <c r="E8" s="36">
        <v>9</v>
      </c>
      <c r="F8" s="62">
        <f>SUM(SMALL(E8:E19,{1,2,3,4,5,6}))/6</f>
        <v>5.833333333333333</v>
      </c>
      <c r="G8" s="36"/>
      <c r="H8" s="65">
        <v>0</v>
      </c>
      <c r="I8" s="62">
        <f>SUM(SMALL(H8:H19,{1,2,3,4,5,6}))/6</f>
        <v>1.5</v>
      </c>
      <c r="J8" s="36">
        <v>-300</v>
      </c>
      <c r="K8" s="36">
        <v>15</v>
      </c>
      <c r="L8" s="62">
        <f>SUM(SMALL(K8:K19,{1,2,3,4,5,6}))/6</f>
        <v>10.166666666666666</v>
      </c>
      <c r="M8" s="36"/>
      <c r="N8" s="36">
        <v>14</v>
      </c>
      <c r="O8" s="62">
        <f>SUM(SMALL(N8:N19,{1,2,3,4,5,6}))/6</f>
        <v>15.166666666666666</v>
      </c>
      <c r="P8" s="36">
        <v>-3300</v>
      </c>
      <c r="Q8" s="36">
        <f>14*1.1</f>
        <v>15.400000000000002</v>
      </c>
      <c r="R8" s="62">
        <f>SUM(SMALL(Q8:Q19,{1,2,3,4,5,6}))/6</f>
        <v>9.8333333333333339</v>
      </c>
      <c r="S8" s="36">
        <v>0</v>
      </c>
      <c r="T8" s="36">
        <v>13</v>
      </c>
      <c r="U8" s="62">
        <f>SUM(SMALL(T8:T19,{1,2,3,4,5,6}))/6</f>
        <v>14.833333333333334</v>
      </c>
      <c r="V8" s="36"/>
      <c r="W8" s="36">
        <v>12</v>
      </c>
      <c r="X8" s="62">
        <f>SUM(SMALL(W8:W19,{1,2,3,4,5,6}))/6</f>
        <v>8.1666666666666661</v>
      </c>
      <c r="Y8" s="64">
        <v>3600</v>
      </c>
      <c r="Z8" s="36">
        <v>19</v>
      </c>
      <c r="AA8" s="62">
        <f>SUM(SMALL(Z8:Z19,{1,2,3,4,5,6}))/6</f>
        <v>14.666666666666666</v>
      </c>
      <c r="AB8" s="36"/>
      <c r="AC8" s="36">
        <v>12</v>
      </c>
      <c r="AD8" s="62">
        <f>SUM(SMALL(AC8:AC19,{1,2,3,4,5,6}))/6</f>
        <v>7.666666666666667</v>
      </c>
      <c r="AE8" s="64"/>
      <c r="AF8" s="36">
        <v>7</v>
      </c>
      <c r="AG8" s="62">
        <f>SUM(SMALL(AF8:AF19,{1,2,3,4,5,6}))/6</f>
        <v>5.5</v>
      </c>
      <c r="AH8" s="36"/>
      <c r="AI8" s="36">
        <v>17</v>
      </c>
      <c r="AJ8" s="62">
        <f>SUM(SMALL(AI8:AI19,{1,2,3,4,5,6}))/6</f>
        <v>11.683333333333332</v>
      </c>
      <c r="AK8" s="64"/>
      <c r="AL8" s="36">
        <v>18</v>
      </c>
      <c r="AM8" s="62">
        <f>SUM(SMALL(AL8:AL19,{1,2,3,4,5,6}))/6</f>
        <v>12.200000000000001</v>
      </c>
      <c r="AN8" s="36"/>
      <c r="AO8" s="36">
        <v>12</v>
      </c>
      <c r="AP8" s="62">
        <f>SUM(SMALL(AO8:AO19,{1,2,3,4,5,6}))/6</f>
        <v>11.916666666666666</v>
      </c>
      <c r="AQ8" s="36"/>
      <c r="AR8" s="36">
        <v>17</v>
      </c>
      <c r="AS8" s="62">
        <f>SUM(SMALL(AR8:AR19,{1,2,3,4,5,6}))/6</f>
        <v>10.666666666666666</v>
      </c>
      <c r="AT8" s="64"/>
      <c r="AU8" s="36">
        <v>14</v>
      </c>
      <c r="AV8" s="62">
        <f>SUM(SMALL(AU8:AU19,{1,2,3,4,5,6}))/6</f>
        <v>12.5</v>
      </c>
      <c r="AW8" s="36"/>
      <c r="AX8" s="36"/>
      <c r="AY8" s="62"/>
      <c r="AZ8" s="36"/>
      <c r="BA8" s="36">
        <v>8</v>
      </c>
      <c r="BB8" s="62">
        <f>SUM(SMALL(BA8:BA19,{1,2,3,4,5,6}))/6</f>
        <v>10.5</v>
      </c>
      <c r="BC8" s="36"/>
      <c r="BD8" s="36">
        <v>15</v>
      </c>
      <c r="BE8" s="62">
        <f>SUM(SMALL(BD8:BD19,{1,2,3,4,5,6}))/6</f>
        <v>13.666666666666666</v>
      </c>
      <c r="BF8" s="36"/>
      <c r="BG8" s="36">
        <v>21</v>
      </c>
      <c r="BH8" s="62">
        <f>SUM(SMALL(BG8:BG19,{1,2,3,4,5,6}))/6</f>
        <v>13.166666666666666</v>
      </c>
    </row>
    <row r="9" spans="1:61" ht="12.75" customHeight="1" x14ac:dyDescent="0.25">
      <c r="A9" s="36">
        <v>-300</v>
      </c>
      <c r="B9" s="36">
        <v>8</v>
      </c>
      <c r="C9" s="62">
        <f>SUM(SMALL(B9:B20,{1,2,3,4,5,6}))/6</f>
        <v>5</v>
      </c>
      <c r="D9" s="36"/>
      <c r="E9" s="36">
        <v>8</v>
      </c>
      <c r="F9" s="62">
        <f>SUM(SMALL(E9:E20,{1,2,3,4,5,6}))/6</f>
        <v>5</v>
      </c>
      <c r="G9" s="36"/>
      <c r="H9" s="36">
        <v>2</v>
      </c>
      <c r="I9" s="62">
        <f>SUM(SMALL(H9:H20,{1,2,3,4,5,6}))/6</f>
        <v>2</v>
      </c>
      <c r="J9" s="36">
        <v>-3600</v>
      </c>
      <c r="K9" s="36">
        <v>24</v>
      </c>
      <c r="L9" s="62">
        <f>SUM(SMALL(K9:K20,{1,2,3,4,5,6}))/6</f>
        <v>10.166666666666666</v>
      </c>
      <c r="M9" s="36"/>
      <c r="N9" s="36">
        <v>20</v>
      </c>
      <c r="O9" s="62">
        <f>SUM(SMALL(N9:N20,{1,2,3,4,5,6}))/6</f>
        <v>15.333333333333334</v>
      </c>
      <c r="P9" s="36"/>
      <c r="Q9" s="36">
        <v>21</v>
      </c>
      <c r="R9" s="62">
        <f>SUM(SMALL(Q9:Q20,{1,2,3,4,5,6}))/6</f>
        <v>9.1666666666666661</v>
      </c>
      <c r="S9" s="36">
        <v>-1500</v>
      </c>
      <c r="T9" s="36">
        <v>17</v>
      </c>
      <c r="U9" s="62">
        <f>SUM(SMALL(T9:T20,{1,2,3,4,5,6}))/6</f>
        <v>15.166666666666666</v>
      </c>
      <c r="V9" s="36"/>
      <c r="W9" s="36">
        <v>10</v>
      </c>
      <c r="X9" s="62">
        <f>SUM(SMALL(W9:W20,{1,2,3,4,5,6}))/6</f>
        <v>8.1666666666666661</v>
      </c>
      <c r="Y9" s="64">
        <v>150</v>
      </c>
      <c r="Z9" s="36">
        <v>18</v>
      </c>
      <c r="AA9" s="62">
        <f>SUM(SMALL(Z9:Z20,{1,2,3,4,5,6}))/6</f>
        <v>14.166666666666666</v>
      </c>
      <c r="AB9" s="36"/>
      <c r="AC9" s="36">
        <v>12</v>
      </c>
      <c r="AD9" s="62">
        <f>SUM(SMALL(AC9:AC20,{1,2,3,4,5,6}))/6</f>
        <v>7.666666666666667</v>
      </c>
      <c r="AE9" s="64"/>
      <c r="AF9" s="36">
        <v>5</v>
      </c>
      <c r="AG9" s="62">
        <f>SUM(SMALL(AF9:AF20,{1,2,3,4,5,6}))/6</f>
        <v>5.333333333333333</v>
      </c>
      <c r="AH9" s="36"/>
      <c r="AI9" s="36">
        <v>12</v>
      </c>
      <c r="AJ9" s="62">
        <f>SUM(SMALL(AI9:AI20,{1,2,3,4,5,6}))/6</f>
        <v>11.516666666666666</v>
      </c>
      <c r="AK9" s="64"/>
      <c r="AL9" s="36">
        <v>15</v>
      </c>
      <c r="AM9" s="62">
        <f>SUM(SMALL(AL9:AL20,{1,2,3,4,5,6}))/6</f>
        <v>12.200000000000001</v>
      </c>
      <c r="AN9" s="36">
        <v>-2000</v>
      </c>
      <c r="AO9" s="36">
        <v>16</v>
      </c>
      <c r="AP9" s="62">
        <f>SUM(SMALL(AO9:AO20,{1,2,3,4,5,6}))/6</f>
        <v>11.75</v>
      </c>
      <c r="AQ9" s="36">
        <v>-800</v>
      </c>
      <c r="AR9" s="36">
        <v>12</v>
      </c>
      <c r="AS9" s="62">
        <f>SUM(SMALL(AR9:AR20,{1,2,3,4,5,6}))/6</f>
        <v>10.666666666666666</v>
      </c>
      <c r="AT9" s="64"/>
      <c r="AU9" s="36">
        <v>16</v>
      </c>
      <c r="AV9" s="62">
        <f>SUM(SMALL(AU9:AU20,{1,2,3,4,5,6}))/6</f>
        <v>12.666666666666666</v>
      </c>
      <c r="AW9" s="36"/>
      <c r="AX9" s="36"/>
      <c r="AY9" s="62"/>
      <c r="AZ9" s="36"/>
      <c r="BA9" s="36">
        <v>11</v>
      </c>
      <c r="BB9" s="62">
        <f>SUM(SMALL(BA9:BA20,{1,2,3,4,5,6}))/6</f>
        <v>11.333333333333334</v>
      </c>
      <c r="BC9" s="36"/>
      <c r="BD9" s="36">
        <v>15</v>
      </c>
      <c r="BE9" s="62">
        <f>SUM(SMALL(BD9:BD20,{1,2,3,4,5,6}))/6</f>
        <v>14</v>
      </c>
      <c r="BF9" s="36"/>
      <c r="BG9" s="36">
        <v>19</v>
      </c>
      <c r="BH9" s="62">
        <f>SUM(SMALL(BG9:BG20,{1,2,3,4,5,6}))/6</f>
        <v>13.166666666666666</v>
      </c>
    </row>
    <row r="10" spans="1:61" ht="12.75" customHeight="1" x14ac:dyDescent="0.25">
      <c r="A10" s="36">
        <v>-600</v>
      </c>
      <c r="B10" s="36">
        <v>7</v>
      </c>
      <c r="C10" s="62">
        <f>SUM(SMALL(B10:B21,{1,2,3,4,5,6}))/6</f>
        <v>4.833333333333333</v>
      </c>
      <c r="D10" s="36">
        <v>300</v>
      </c>
      <c r="E10" s="36">
        <f>13*0.8</f>
        <v>10.4</v>
      </c>
      <c r="F10" s="62">
        <f>SUM(SMALL(E10:E21,{1,2,3,4,5,6}))/6</f>
        <v>4.833333333333333</v>
      </c>
      <c r="G10" s="36">
        <v>3600</v>
      </c>
      <c r="H10" s="36">
        <v>3</v>
      </c>
      <c r="I10" s="62">
        <f>SUM(SMALL(H10:H21,{1,2,3,4,5,6}))/6</f>
        <v>2.3333333333333335</v>
      </c>
      <c r="J10" s="36">
        <v>600</v>
      </c>
      <c r="K10" s="36">
        <v>12</v>
      </c>
      <c r="L10" s="62">
        <f>SUM(SMALL(K10:K21,{1,2,3,4,5,6}))/6</f>
        <v>10.166666666666666</v>
      </c>
      <c r="M10" s="36">
        <v>1800</v>
      </c>
      <c r="N10" s="36">
        <v>17</v>
      </c>
      <c r="O10" s="62">
        <f>SUM(SMALL(N10:N21,{1,2,3,4,5,6}))/6</f>
        <v>14.833333333333334</v>
      </c>
      <c r="P10" s="36"/>
      <c r="Q10" s="36">
        <v>18</v>
      </c>
      <c r="R10" s="62">
        <f>SUM(SMALL(Q10:Q21,{1,2,3,4,5,6}))/6</f>
        <v>8.8333333333333339</v>
      </c>
      <c r="S10" s="36"/>
      <c r="T10" s="36">
        <v>23</v>
      </c>
      <c r="U10" s="62">
        <f>SUM(SMALL(T10:T21,{1,2,3,4,5,6}))/6</f>
        <v>15.166666666666666</v>
      </c>
      <c r="V10" s="36"/>
      <c r="W10" s="36">
        <v>14</v>
      </c>
      <c r="X10" s="62">
        <f>SUM(SMALL(W10:W21,{1,2,3,4,5,6}))/6</f>
        <v>8.5</v>
      </c>
      <c r="Y10" s="64">
        <v>-2700</v>
      </c>
      <c r="Z10" s="36">
        <v>13</v>
      </c>
      <c r="AA10" s="62">
        <f>SUM(SMALL(Z10:Z21,{1,2,3,4,5,6}))/6</f>
        <v>13.333333333333334</v>
      </c>
      <c r="AB10" s="36"/>
      <c r="AC10" s="36">
        <v>10</v>
      </c>
      <c r="AD10" s="62">
        <f>SUM(SMALL(AC10:AC21,{1,2,3,4,5,6}))/6</f>
        <v>7.5</v>
      </c>
      <c r="AE10" s="64"/>
      <c r="AF10" s="36">
        <v>8</v>
      </c>
      <c r="AG10" s="62">
        <f>SUM(SMALL(AF10:AF21,{1,2,3,4,5,6}))/6</f>
        <v>5.833333333333333</v>
      </c>
      <c r="AH10" s="36"/>
      <c r="AI10" s="36">
        <v>19</v>
      </c>
      <c r="AJ10" s="62">
        <f>SUM(SMALL(AI10:AI21,{1,2,3,4,5,6}))/6</f>
        <v>11.35</v>
      </c>
      <c r="AK10" s="64"/>
      <c r="AL10" s="36">
        <v>18</v>
      </c>
      <c r="AM10" s="62">
        <f>SUM(SMALL(AL10:AL21,{1,2,3,4,5,6}))/6</f>
        <v>12.200000000000001</v>
      </c>
      <c r="AN10" s="36"/>
      <c r="AO10" s="36">
        <v>16</v>
      </c>
      <c r="AP10" s="62">
        <f>SUM(SMALL(AO10:AO21,{1,2,3,4,5,6}))/6</f>
        <v>11.75</v>
      </c>
      <c r="AQ10" s="36"/>
      <c r="AR10" s="36">
        <v>15</v>
      </c>
      <c r="AS10" s="62">
        <f>SUM(SMALL(AR10:AR21,{1,2,3,4,5,6}))/6</f>
        <v>10.833333333333334</v>
      </c>
      <c r="AT10" s="64"/>
      <c r="AU10" s="36">
        <v>20</v>
      </c>
      <c r="AV10" s="62">
        <f>SUM(SMALL(AU10:AU21,{1,2,3,4,5,6}))/6</f>
        <v>12.666666666666666</v>
      </c>
      <c r="AW10" s="36"/>
      <c r="AX10" s="36"/>
      <c r="AY10" s="62"/>
      <c r="AZ10" s="36"/>
      <c r="BA10" s="36">
        <v>14</v>
      </c>
      <c r="BB10" s="62">
        <f>SUM(SMALL(BA10:BA21,{1,2,3,4,5,6}))/6</f>
        <v>10.666666666666666</v>
      </c>
      <c r="BC10" s="36"/>
      <c r="BD10" s="36">
        <v>23</v>
      </c>
      <c r="BE10" s="62">
        <f>SUM(SMALL(BD10:BD21,{1,2,3,4,5,6}))/6</f>
        <v>13.5</v>
      </c>
      <c r="BF10" s="36"/>
      <c r="BG10" s="36">
        <v>22</v>
      </c>
      <c r="BH10" s="62">
        <f>SUM(SMALL(BG10:BG21,{1,2,3,4,5,6}))/6</f>
        <v>13.166666666666666</v>
      </c>
    </row>
    <row r="11" spans="1:61" ht="12.75" customHeight="1" x14ac:dyDescent="0.25">
      <c r="A11" s="36">
        <v>-3600</v>
      </c>
      <c r="B11" s="36">
        <v>6</v>
      </c>
      <c r="C11" s="62">
        <f>SUM(SMALL(B11:B22,{1,2,3,4,5,6}))/6</f>
        <v>4.833333333333333</v>
      </c>
      <c r="D11" s="36">
        <v>600</v>
      </c>
      <c r="E11" s="36">
        <v>6</v>
      </c>
      <c r="F11" s="62">
        <f>SUM(SMALL(E11:E22,{1,2,3,4,5,6}))/6</f>
        <v>4.666666666666667</v>
      </c>
      <c r="G11" s="36">
        <v>2700</v>
      </c>
      <c r="H11" s="63">
        <v>-2</v>
      </c>
      <c r="I11" s="62">
        <f>SUM(SMALL(H11:H22,{1,2,3,4,5,6}))/6</f>
        <v>2.3333333333333335</v>
      </c>
      <c r="J11" s="36"/>
      <c r="K11" s="36">
        <v>13</v>
      </c>
      <c r="L11" s="62">
        <f>SUM(SMALL(K11:K22,{1,2,3,4,5,6}))/6</f>
        <v>10</v>
      </c>
      <c r="M11" s="36"/>
      <c r="N11" s="36">
        <v>17</v>
      </c>
      <c r="O11" s="62">
        <f>SUM(SMALL(N11:N22,{1,2,3,4,5,6}))/6</f>
        <v>13.666666666666666</v>
      </c>
      <c r="P11" s="36">
        <v>-3000</v>
      </c>
      <c r="Q11" s="36">
        <v>20</v>
      </c>
      <c r="R11" s="62">
        <f>SUM(SMALL(Q11:Q22,{1,2,3,4,5,6}))/6</f>
        <v>8.8333333333333339</v>
      </c>
      <c r="S11" s="36">
        <v>-2000</v>
      </c>
      <c r="T11" s="36">
        <v>19</v>
      </c>
      <c r="U11" s="62">
        <f>SUM(SMALL(T11:T22,{1,2,3,4,5,6}))/6</f>
        <v>15.166666666666666</v>
      </c>
      <c r="V11" s="36"/>
      <c r="W11" s="36">
        <v>5</v>
      </c>
      <c r="X11" s="62">
        <f>SUM(SMALL(W11:W22,{1,2,3,4,5,6}))/6</f>
        <v>8.5</v>
      </c>
      <c r="Y11" s="64">
        <v>-1000</v>
      </c>
      <c r="Z11" s="36">
        <v>16</v>
      </c>
      <c r="AA11" s="62">
        <f>SUM(SMALL(Z11:Z22,{1,2,3,4,5,6}))/6</f>
        <v>13.833333333333334</v>
      </c>
      <c r="AB11" s="36"/>
      <c r="AC11" s="36">
        <v>6</v>
      </c>
      <c r="AD11" s="62">
        <f>SUM(SMALL(AC11:AC22,{1,2,3,4,5,6}))/6</f>
        <v>7.5</v>
      </c>
      <c r="AE11" s="64"/>
      <c r="AF11" s="36">
        <v>7</v>
      </c>
      <c r="AG11" s="62">
        <f>SUM(SMALL(AF11:AF22,{1,2,3,4,5,6}))/6</f>
        <v>5.833333333333333</v>
      </c>
      <c r="AH11" s="36"/>
      <c r="AI11" s="36">
        <v>13</v>
      </c>
      <c r="AJ11" s="62">
        <f>SUM(SMALL(AI11:AI22,{1,2,3,4,5,6}))/6</f>
        <v>11.35</v>
      </c>
      <c r="AK11" s="64"/>
      <c r="AL11" s="36">
        <v>15</v>
      </c>
      <c r="AM11" s="62">
        <f>SUM(SMALL(AL11:AL22,{1,2,3,4,5,6}))/6</f>
        <v>12.200000000000001</v>
      </c>
      <c r="AN11" s="36">
        <v>1000</v>
      </c>
      <c r="AO11" s="36">
        <v>18</v>
      </c>
      <c r="AP11" s="62">
        <f>SUM(SMALL(AO11:AO22,{1,2,3,4,5,6}))/6</f>
        <v>11.75</v>
      </c>
      <c r="AQ11" s="36">
        <v>-2000</v>
      </c>
      <c r="AR11" s="36">
        <v>16</v>
      </c>
      <c r="AS11" s="62">
        <f>SUM(SMALL(AR11:AR22,{1,2,3,4,5,6}))/6</f>
        <v>10.833333333333334</v>
      </c>
      <c r="AT11" s="64"/>
      <c r="AU11" s="36">
        <v>16</v>
      </c>
      <c r="AV11" s="62">
        <f>SUM(SMALL(AU11:AU22,{1,2,3,4,5,6}))/6</f>
        <v>12.333333333333334</v>
      </c>
      <c r="AW11" s="36"/>
      <c r="AX11" s="36"/>
      <c r="AY11" s="62"/>
      <c r="AZ11" s="36">
        <v>-2700</v>
      </c>
      <c r="BA11" s="36">
        <v>14</v>
      </c>
      <c r="BB11" s="62">
        <f>SUM(SMALL(BA11:BA22,{1,2,3,4,5,6}))/6</f>
        <v>10.666666666666666</v>
      </c>
      <c r="BC11" s="36"/>
      <c r="BD11" s="36">
        <v>22</v>
      </c>
      <c r="BE11" s="62">
        <f>SUM(SMALL(BD11:BD22,{1,2,3,4,5,6}))/6</f>
        <v>11.833333333333334</v>
      </c>
      <c r="BF11" s="36"/>
      <c r="BG11" s="36">
        <v>16</v>
      </c>
      <c r="BH11" s="62">
        <f>SUM(SMALL(BG11:BG22,{1,2,3,4,5,6}))/6</f>
        <v>13.166666666666666</v>
      </c>
    </row>
    <row r="12" spans="1:61" ht="12.75" customHeight="1" x14ac:dyDescent="0.25">
      <c r="A12" s="36"/>
      <c r="B12" s="36">
        <v>4</v>
      </c>
      <c r="C12" s="62">
        <f>SUM(SMALL(B12:B23,{1,2,3,4,5,6}))/6</f>
        <v>4.833333333333333</v>
      </c>
      <c r="D12" s="36"/>
      <c r="E12" s="36">
        <v>6</v>
      </c>
      <c r="F12" s="62">
        <f>SUM(SMALL(E12:E23,{1,2,3,4,5,6}))/6</f>
        <v>4.833333333333333</v>
      </c>
      <c r="G12" s="36"/>
      <c r="H12" s="36">
        <v>9</v>
      </c>
      <c r="I12" s="62">
        <f>SUM(SMALL(H12:H23,{1,2,3,4,5,6}))/6</f>
        <v>3.5</v>
      </c>
      <c r="J12" s="36"/>
      <c r="K12" s="36">
        <v>14</v>
      </c>
      <c r="L12" s="62">
        <f>SUM(SMALL(K12:K23,{1,2,3,4,5,6}))/6</f>
        <v>10</v>
      </c>
      <c r="M12" s="36">
        <v>-2700</v>
      </c>
      <c r="N12" s="36">
        <v>14</v>
      </c>
      <c r="O12" s="62">
        <f>SUM(SMALL(N12:N23,{1,2,3,4,5,6}))/6</f>
        <v>13.666666666666666</v>
      </c>
      <c r="P12" s="36">
        <v>-4000</v>
      </c>
      <c r="Q12" s="36">
        <v>19</v>
      </c>
      <c r="R12" s="62">
        <f>SUM(SMALL(Q12:Q23,{1,2,3,4,5,6}))/6</f>
        <v>8.8333333333333339</v>
      </c>
      <c r="S12" s="36">
        <v>1600</v>
      </c>
      <c r="T12" s="36">
        <v>14</v>
      </c>
      <c r="U12" s="62">
        <f>SUM(SMALL(T12:T23,{1,2,3,4,5,6}))/6</f>
        <v>14.466666666666667</v>
      </c>
      <c r="V12" s="36">
        <v>2700</v>
      </c>
      <c r="W12" s="36">
        <v>7</v>
      </c>
      <c r="X12" s="62">
        <f>SUM(SMALL(W12:W23,{1,2,3,4,5,6}))/6</f>
        <v>9.6666666666666661</v>
      </c>
      <c r="Y12" s="64"/>
      <c r="Z12" s="36">
        <v>10</v>
      </c>
      <c r="AA12" s="62">
        <f>SUM(SMALL(Z12:Z23,{1,2,3,4,5,6}))/6</f>
        <v>14</v>
      </c>
      <c r="AB12" s="36"/>
      <c r="AC12" s="36">
        <v>5</v>
      </c>
      <c r="AD12" s="62">
        <f>SUM(SMALL(AC12:AC23,{1,2,3,4,5,6}))/6</f>
        <v>8.1666666666666661</v>
      </c>
      <c r="AE12" s="64"/>
      <c r="AF12" s="36">
        <v>3</v>
      </c>
      <c r="AG12" s="62">
        <f>SUM(SMALL(AF12:AF23,{1,2,3,4,5,6}))/6</f>
        <v>5.166666666666667</v>
      </c>
      <c r="AH12" s="36"/>
      <c r="AI12" s="36">
        <v>16</v>
      </c>
      <c r="AJ12" s="62">
        <f>SUM(SMALL(AI12:AI23,{1,2,3,4,5,6}))/6</f>
        <v>11.35</v>
      </c>
      <c r="AK12" s="64"/>
      <c r="AL12" s="36">
        <v>15</v>
      </c>
      <c r="AM12" s="62">
        <f>SUM(SMALL(AL12:AL23,{1,2,3,4,5,6}))/6</f>
        <v>12.366666666666667</v>
      </c>
      <c r="AN12" s="36"/>
      <c r="AO12" s="36">
        <v>13</v>
      </c>
      <c r="AP12" s="62">
        <f>SUM(SMALL(AO12:AO23,{1,2,3,4,5,6}))/6</f>
        <v>11.533333333333333</v>
      </c>
      <c r="AQ12" s="36"/>
      <c r="AR12" s="36">
        <v>15</v>
      </c>
      <c r="AS12" s="62">
        <f>SUM(SMALL(AR12:AR23,{1,2,3,4,5,6}))/6</f>
        <v>10.833333333333334</v>
      </c>
      <c r="AT12" s="64"/>
      <c r="AU12" s="36">
        <v>15</v>
      </c>
      <c r="AV12" s="62">
        <f>SUM(SMALL(AU12:AU23,{1,2,3,4,5,6}))/6</f>
        <v>12</v>
      </c>
      <c r="AW12" s="36"/>
      <c r="AX12" s="36"/>
      <c r="AY12" s="62"/>
      <c r="AZ12" s="36"/>
      <c r="BA12" s="36">
        <v>17</v>
      </c>
      <c r="BB12" s="62">
        <f>SUM(SMALL(BA12:BA23,{1,2,3,4,5,6}))/6</f>
        <v>10</v>
      </c>
      <c r="BC12" s="36"/>
      <c r="BD12" s="36">
        <v>16</v>
      </c>
      <c r="BE12" s="62">
        <f>SUM(SMALL(BD12:BD23,{1,2,3,4,5,6}))/6</f>
        <v>11.333333333333334</v>
      </c>
      <c r="BF12" s="36"/>
      <c r="BG12" s="36">
        <v>14</v>
      </c>
      <c r="BH12" s="62">
        <v>13.166666666666666</v>
      </c>
    </row>
    <row r="13" spans="1:61" ht="12.75" customHeight="1" x14ac:dyDescent="0.25">
      <c r="A13" s="36"/>
      <c r="B13" s="36">
        <v>7</v>
      </c>
      <c r="C13" s="62">
        <f>SUM(SMALL(B13:B24,{1,2,3,4,5,6}))/6</f>
        <v>5.166666666666667</v>
      </c>
      <c r="D13" s="36">
        <v>-750</v>
      </c>
      <c r="E13" s="36">
        <v>13</v>
      </c>
      <c r="F13" s="62">
        <f>SUM(SMALL(E13:E24,{1,2,3,4,5,6}))/6</f>
        <v>4.833333333333333</v>
      </c>
      <c r="G13" s="36"/>
      <c r="H13" s="36">
        <v>6</v>
      </c>
      <c r="I13" s="62">
        <f>SUM(SMALL(H13:H24,{1,2,3,4,5,6}))/6</f>
        <v>3.5</v>
      </c>
      <c r="J13" s="36"/>
      <c r="K13" s="36">
        <v>12</v>
      </c>
      <c r="L13" s="62">
        <f>SUM(SMALL(K13:K24,{1,2,3,4,5,6}))/6</f>
        <v>10</v>
      </c>
      <c r="M13" s="36"/>
      <c r="N13" s="36">
        <v>24</v>
      </c>
      <c r="O13" s="62">
        <f>SUM(SMALL(N13:N24,{1,2,3,4,5,6}))/6</f>
        <v>13.666666666666666</v>
      </c>
      <c r="P13" s="36"/>
      <c r="Q13" s="36">
        <v>9</v>
      </c>
      <c r="R13" s="62">
        <f>SUM(SMALL(Q13:Q24,{1,2,3,4,5,6}))/6</f>
        <v>8.8333333333333339</v>
      </c>
      <c r="S13" s="36">
        <v>-4000</v>
      </c>
      <c r="T13" s="36">
        <v>18</v>
      </c>
      <c r="U13" s="62">
        <f>SUM(SMALL(T13:T24,{1,2,3,4,5,6}))/6</f>
        <v>14.633333333333333</v>
      </c>
      <c r="V13" s="36"/>
      <c r="W13" s="36">
        <v>10</v>
      </c>
      <c r="X13" s="62">
        <f>SUM(SMALL(W13:W24,{1,2,3,4,5,6}))/6</f>
        <v>10.166666666666666</v>
      </c>
      <c r="Y13" s="64"/>
      <c r="Z13" s="36">
        <v>22</v>
      </c>
      <c r="AA13" s="62">
        <f>SUM(SMALL(Z13:Z24,{1,2,3,4,5,6}))/6</f>
        <v>14.833333333333334</v>
      </c>
      <c r="AB13" s="36">
        <v>600</v>
      </c>
      <c r="AC13" s="36">
        <v>7</v>
      </c>
      <c r="AD13" s="62">
        <f>SUM(SMALL(AC13:AC24,{1,2,3,4,5,6}))/6</f>
        <v>9</v>
      </c>
      <c r="AE13" s="64"/>
      <c r="AF13" s="36">
        <v>15</v>
      </c>
      <c r="AG13" s="62">
        <f>SUM(SMALL(AF13:AF24,{1,2,3,4,5,6}))/6</f>
        <v>5.666666666666667</v>
      </c>
      <c r="AH13" s="36"/>
      <c r="AI13" s="36">
        <v>20</v>
      </c>
      <c r="AJ13" s="62">
        <f>SUM(SMALL(AI13:AI24,{1,2,3,4,5,6}))/6</f>
        <v>11.166666666666666</v>
      </c>
      <c r="AK13" s="64"/>
      <c r="AL13" s="36">
        <v>17</v>
      </c>
      <c r="AM13" s="62">
        <f>SUM(SMALL(AL13:AL24,{1,2,3,4,5,6}))/6</f>
        <v>12.200000000000001</v>
      </c>
      <c r="AN13" s="36">
        <v>-240</v>
      </c>
      <c r="AO13" s="36">
        <v>18</v>
      </c>
      <c r="AP13" s="62">
        <f>SUM(SMALL(AO13:AO24,{1,2,3,4,5,6}))/6</f>
        <v>11.75</v>
      </c>
      <c r="AQ13" s="36">
        <v>-2000</v>
      </c>
      <c r="AR13" s="36">
        <v>14</v>
      </c>
      <c r="AS13" s="62">
        <f>SUM(SMALL(AR13:AR24,{1,2,3,4,5,6}))/6</f>
        <v>10.666666666666666</v>
      </c>
      <c r="AT13" s="64"/>
      <c r="AU13" s="36">
        <v>9</v>
      </c>
      <c r="AV13" s="62">
        <f>SUM(SMALL(AU13:AU24,{1,2,3,4,5,6}))/6</f>
        <v>12</v>
      </c>
      <c r="AW13" s="36"/>
      <c r="AX13" s="36"/>
      <c r="AY13" s="62"/>
      <c r="AZ13" s="36"/>
      <c r="BA13" s="36">
        <v>13</v>
      </c>
      <c r="BB13" s="62">
        <f>SUM(SMALL(BA13:BA24,{1,2,3,4,5,6}))/6</f>
        <v>9.2999999999999989</v>
      </c>
      <c r="BC13" s="36"/>
      <c r="BD13" s="36">
        <v>18</v>
      </c>
      <c r="BE13" s="62">
        <f>SUM(SMALL(BD13:BD24,{1,2,3,4,5,6}))/6</f>
        <v>11.166666666666666</v>
      </c>
      <c r="BF13" s="36"/>
      <c r="BG13" s="36">
        <v>14</v>
      </c>
      <c r="BH13" s="62">
        <v>13</v>
      </c>
    </row>
    <row r="14" spans="1:61" ht="12.75" customHeight="1" x14ac:dyDescent="0.25">
      <c r="A14" s="36">
        <v>-3000</v>
      </c>
      <c r="B14" s="36">
        <v>5</v>
      </c>
      <c r="C14" s="62">
        <f>SUM(SMALL(B14:B25,{1,2,3,4,5,6}))/6</f>
        <v>5.166666666666667</v>
      </c>
      <c r="D14" s="36"/>
      <c r="E14" s="36">
        <v>17</v>
      </c>
      <c r="F14" s="62">
        <f>SUM(SMALL(E14:E25,{1,2,3,4,5,6}))/6</f>
        <v>4.666666666666667</v>
      </c>
      <c r="G14" s="36">
        <v>-3300</v>
      </c>
      <c r="H14" s="36">
        <v>9</v>
      </c>
      <c r="I14" s="62">
        <f>SUM(SMALL(H14:H25,{1,2,3,4,5,6}))/6</f>
        <v>2.8333333333333335</v>
      </c>
      <c r="J14" s="36"/>
      <c r="K14" s="36">
        <v>12</v>
      </c>
      <c r="L14" s="62">
        <f>SUM(SMALL(K14:K25,{1,2,3,4,5,6}))/6</f>
        <v>10.166666666666666</v>
      </c>
      <c r="M14" s="36"/>
      <c r="N14" s="36">
        <v>14</v>
      </c>
      <c r="O14" s="62">
        <f>SUM(SMALL(N14:N25,{1,2,3,4,5,6}))/6</f>
        <v>13.166666666666666</v>
      </c>
      <c r="P14" s="36"/>
      <c r="Q14" s="36">
        <v>8</v>
      </c>
      <c r="R14" s="62">
        <f>SUM(SMALL(Q14:Q25,{1,2,3,4,5,6}))/6</f>
        <v>9.1666666666666661</v>
      </c>
      <c r="S14" s="36"/>
      <c r="T14" s="36">
        <v>13</v>
      </c>
      <c r="U14" s="62">
        <f>SUM(SMALL(T14:T25,{1,2,3,4,5,6}))/6</f>
        <v>13.466666666666667</v>
      </c>
      <c r="V14" s="36">
        <v>3300</v>
      </c>
      <c r="W14" s="36">
        <v>7</v>
      </c>
      <c r="X14" s="62">
        <f>SUM(SMALL(W14:W25,{1,2,3,4,5,6}))/6</f>
        <v>10.5</v>
      </c>
      <c r="Y14" s="64"/>
      <c r="Z14" s="36">
        <v>16</v>
      </c>
      <c r="AA14" s="62">
        <f>SUM(SMALL(Z14:Z25,{1,2,3,4,5,6}))/6</f>
        <v>14.833333333333334</v>
      </c>
      <c r="AB14" s="36">
        <v>1500</v>
      </c>
      <c r="AC14" s="36">
        <v>8</v>
      </c>
      <c r="AD14" s="62">
        <f>SUM(SMALL(AC14:AC25,{1,2,3,4,5,6}))/6</f>
        <v>10</v>
      </c>
      <c r="AE14" s="64"/>
      <c r="AF14" s="36">
        <v>12</v>
      </c>
      <c r="AG14" s="62">
        <f>SUM(SMALL(AF14:AF25,{1,2,3,4,5,6}))/6</f>
        <v>3.8333333333333335</v>
      </c>
      <c r="AH14" s="36">
        <v>3300</v>
      </c>
      <c r="AI14" s="36">
        <f>11*1.1</f>
        <v>12.100000000000001</v>
      </c>
      <c r="AJ14" s="62">
        <f>SUM(SMALL(AI14:AI25,{1,2,3,4,5,6}))/6</f>
        <v>11.166666666666666</v>
      </c>
      <c r="AK14" s="64"/>
      <c r="AL14" s="36">
        <v>20</v>
      </c>
      <c r="AM14" s="62">
        <f>SUM(SMALL(AL14:AL25,{1,2,3,4,5,6}))/6</f>
        <v>11.366666666666667</v>
      </c>
      <c r="AN14" s="36">
        <v>2100</v>
      </c>
      <c r="AO14" s="36">
        <v>8</v>
      </c>
      <c r="AP14" s="62">
        <f>SUM(SMALL(AO14:AO25,{1,2,3,4,5,6}))/6</f>
        <v>11.366666666666667</v>
      </c>
      <c r="AQ14" s="36"/>
      <c r="AR14" s="36">
        <v>16</v>
      </c>
      <c r="AS14" s="62">
        <f>SUM(SMALL(AR14:AR25,{1,2,3,4,5,6}))/6</f>
        <v>10.666666666666666</v>
      </c>
      <c r="AT14" s="64"/>
      <c r="AU14" s="36">
        <v>18</v>
      </c>
      <c r="AV14" s="62">
        <f>SUM(SMALL(AU14:AU25,{1,2,3,4,5,6}))/6</f>
        <v>12.833333333333334</v>
      </c>
      <c r="AW14" s="36"/>
      <c r="AX14" s="36"/>
      <c r="AY14" s="62"/>
      <c r="AZ14" s="36"/>
      <c r="BA14" s="36">
        <v>19</v>
      </c>
      <c r="BB14" s="62">
        <f>SUM(SMALL(BA14:BA25,{1,2,3,4,5,6}))/6</f>
        <v>8.9333333333333336</v>
      </c>
      <c r="BC14" s="36"/>
      <c r="BD14" s="36">
        <v>18</v>
      </c>
      <c r="BE14" s="62">
        <f>SUM(SMALL(BD14:BD25,{1,2,3,4,5,6}))/6</f>
        <v>10.333333333333334</v>
      </c>
      <c r="BF14" s="36">
        <v>2400</v>
      </c>
      <c r="BG14" s="36">
        <v>15</v>
      </c>
      <c r="BH14" s="62">
        <v>13.166666666666666</v>
      </c>
    </row>
    <row r="15" spans="1:61" ht="12" customHeight="1" x14ac:dyDescent="0.25">
      <c r="A15" s="36">
        <v>600</v>
      </c>
      <c r="B15" s="36">
        <v>4</v>
      </c>
      <c r="C15" s="62">
        <f>SUM(SMALL(B15:B26,{1,2,3,4,5,6}))/6</f>
        <v>5.5</v>
      </c>
      <c r="D15" s="36">
        <v>3000</v>
      </c>
      <c r="E15" s="36">
        <v>4</v>
      </c>
      <c r="F15" s="62">
        <f>SUM(SMALL(E15:E26,{1,2,3,4,5,6}))/6</f>
        <v>4.666666666666667</v>
      </c>
      <c r="G15" s="36">
        <v>-2700</v>
      </c>
      <c r="H15" s="36">
        <v>7</v>
      </c>
      <c r="I15" s="62">
        <f>SUM(SMALL(H15:H26,{1,2,3,4,5,6}))/6</f>
        <v>2.8333333333333335</v>
      </c>
      <c r="J15" s="36"/>
      <c r="K15" s="36">
        <v>15</v>
      </c>
      <c r="L15" s="62">
        <f>SUM(SMALL(K15:K26,{1,2,3,4,5,6}))/6</f>
        <v>10.166666666666666</v>
      </c>
      <c r="M15" s="36"/>
      <c r="N15" s="36">
        <v>20</v>
      </c>
      <c r="O15" s="62">
        <f>SUM(SMALL(N15:N26,{1,2,3,4,5,6}))/6</f>
        <v>12.833333333333334</v>
      </c>
      <c r="P15" s="36"/>
      <c r="Q15" s="36">
        <v>21</v>
      </c>
      <c r="R15" s="62">
        <f>SUM(SMALL(Q15:Q26,{1,2,3,4,5,6}))/6</f>
        <v>9.1666666666666661</v>
      </c>
      <c r="S15" s="36"/>
      <c r="T15" s="36">
        <v>24</v>
      </c>
      <c r="U15" s="62">
        <f>SUM(SMALL(T15:T26,{1,2,3,4,5,6}))/6</f>
        <v>13.799999999999999</v>
      </c>
      <c r="V15" s="36">
        <v>2700</v>
      </c>
      <c r="W15" s="36">
        <v>10</v>
      </c>
      <c r="X15" s="62">
        <f>SUM(SMALL(W15:W26,{1,2,3,4,5,6}))/6</f>
        <v>10.666666666666666</v>
      </c>
      <c r="Y15" s="64">
        <v>-4000</v>
      </c>
      <c r="Z15" s="36">
        <v>21</v>
      </c>
      <c r="AA15" s="62">
        <f>SUM(SMALL(Z15:Z26,{1,2,3,4,5,6}))/6</f>
        <v>15.166666666666666</v>
      </c>
      <c r="AB15" s="36">
        <v>-2000</v>
      </c>
      <c r="AC15" s="36">
        <v>20</v>
      </c>
      <c r="AD15" s="62">
        <f>SUM(SMALL(AC15:AC26,{1,2,3,4,5,6}))/6</f>
        <v>9.6666666666666661</v>
      </c>
      <c r="AE15" s="64"/>
      <c r="AF15" s="36">
        <v>8</v>
      </c>
      <c r="AG15" s="62">
        <f>SUM(SMALL(AF15:AF26,{1,2,3,4,5,6}))/6</f>
        <v>3.8333333333333335</v>
      </c>
      <c r="AH15" s="36"/>
      <c r="AI15" s="36">
        <v>11</v>
      </c>
      <c r="AJ15" s="62">
        <f>SUM(SMALL(AI15:AI26,{1,2,3,4,5,6}))/6</f>
        <v>11.166666666666666</v>
      </c>
      <c r="AK15" s="64"/>
      <c r="AL15" s="36">
        <v>21</v>
      </c>
      <c r="AM15" s="62">
        <f>SUM(SMALL(AL15:AL26,{1,2,3,4,5,6}))/6</f>
        <v>11.366666666666667</v>
      </c>
      <c r="AN15" s="36">
        <v>-600</v>
      </c>
      <c r="AO15" s="36">
        <v>17</v>
      </c>
      <c r="AP15" s="62">
        <f>SUM(SMALL(AO15:AO26,{1,2,3,4,5,6}))/6</f>
        <v>12.033333333333333</v>
      </c>
      <c r="AQ15" s="36"/>
      <c r="AR15" s="36">
        <v>10</v>
      </c>
      <c r="AS15" s="62">
        <f>SUM(SMALL(AR15:AR26,{1,2,3,4,5,6}))/6</f>
        <v>10.333333333333334</v>
      </c>
      <c r="AT15" s="64"/>
      <c r="AU15" s="36">
        <v>12</v>
      </c>
      <c r="AV15" s="62">
        <f>SUM(SMALL(AU15:AU26,{1,2,3,4,5,6}))/6</f>
        <v>12.833333333333334</v>
      </c>
      <c r="AW15" s="36"/>
      <c r="AX15" s="36"/>
      <c r="AY15" s="62"/>
      <c r="AZ15" s="36">
        <v>-2000</v>
      </c>
      <c r="BA15" s="36">
        <v>20</v>
      </c>
      <c r="BB15" s="62">
        <f>SUM(SMALL(BA15:BA26,{1,2,3,4,5,6}))/6</f>
        <v>8.4333333333333336</v>
      </c>
      <c r="BC15" s="36">
        <v>600</v>
      </c>
      <c r="BD15" s="36">
        <v>12</v>
      </c>
      <c r="BE15" s="62">
        <f>SUM(SMALL(BD15:BD26,{1,2,3,4,5,6}))/6</f>
        <v>10.166666666666666</v>
      </c>
      <c r="BF15" s="36">
        <v>1500</v>
      </c>
      <c r="BG15" s="36">
        <v>15</v>
      </c>
      <c r="BH15" s="62">
        <v>12.533333333333333</v>
      </c>
    </row>
    <row r="16" spans="1:61" ht="12" customHeight="1" x14ac:dyDescent="0.25">
      <c r="A16" s="36">
        <v>-1800</v>
      </c>
      <c r="B16" s="36">
        <v>11</v>
      </c>
      <c r="C16" s="62">
        <f>SUM(SMALL(B16:B27,{1,2,3,4,5,6}))/6</f>
        <v>5.833333333333333</v>
      </c>
      <c r="D16" s="36">
        <v>-600</v>
      </c>
      <c r="E16" s="36">
        <v>3</v>
      </c>
      <c r="F16" s="62">
        <f>SUM(SMALL(E16:E27,{1,2,3,4,5,6}))/6</f>
        <v>5.166666666666667</v>
      </c>
      <c r="G16" s="36"/>
      <c r="H16" s="36">
        <v>4</v>
      </c>
      <c r="I16" s="62">
        <f>SUM(SMALL(H16:H27,{1,2,3,4,5,6}))/6</f>
        <v>2.6666666666666665</v>
      </c>
      <c r="J16" s="36"/>
      <c r="K16" s="36">
        <v>11</v>
      </c>
      <c r="L16" s="62">
        <f>SUM(SMALL(K16:K27,{1,2,3,4,5,6}))/6</f>
        <v>9.6666666666666661</v>
      </c>
      <c r="M16" s="36"/>
      <c r="N16" s="36">
        <v>16</v>
      </c>
      <c r="O16" s="62">
        <f>SUM(SMALL(N16:N27,{1,2,3,4,5,6}))/6</f>
        <v>12.833333333333334</v>
      </c>
      <c r="P16" s="36"/>
      <c r="Q16" s="36">
        <v>14</v>
      </c>
      <c r="R16" s="62">
        <f>SUM(SMALL(Q16:Q27,{1,2,3,4,5,6}))/6</f>
        <v>9</v>
      </c>
      <c r="S16" s="36">
        <v>3000</v>
      </c>
      <c r="T16" s="36">
        <v>19</v>
      </c>
      <c r="U16" s="62">
        <f>SUM(SMALL(T16:T27,{1,2,3,4,5,6}))/6</f>
        <v>13.799999999999999</v>
      </c>
      <c r="V16" s="36"/>
      <c r="W16" s="36">
        <v>15</v>
      </c>
      <c r="X16" s="62">
        <f>SUM(SMALL(W16:W27,{1,2,3,4,5,6}))/6</f>
        <v>10.5</v>
      </c>
      <c r="Y16" s="64">
        <v>-600</v>
      </c>
      <c r="Z16" s="36">
        <v>20</v>
      </c>
      <c r="AA16" s="62">
        <f>SUM(SMALL(Z16:Z27,{1,2,3,4,5,6}))/6</f>
        <v>14.5</v>
      </c>
      <c r="AB16" s="36">
        <v>4000</v>
      </c>
      <c r="AC16" s="36">
        <v>21</v>
      </c>
      <c r="AD16" s="62">
        <f>SUM(SMALL(AC16:AC27,{1,2,3,4,5,6}))/6</f>
        <v>9.6666666666666661</v>
      </c>
      <c r="AE16" s="64"/>
      <c r="AF16" s="36">
        <v>10</v>
      </c>
      <c r="AG16" s="62">
        <f>SUM(SMALL(AF16:AF27,{1,2,3,4,5,6}))/6</f>
        <v>3.8333333333333335</v>
      </c>
      <c r="AH16" s="36"/>
      <c r="AI16" s="36">
        <v>12</v>
      </c>
      <c r="AJ16" s="62">
        <f>SUM(SMALL(AI16:AI27,{1,2,3,4,5,6}))/6</f>
        <v>10.5</v>
      </c>
      <c r="AK16" s="64"/>
      <c r="AL16" s="36">
        <f>17*0.8</f>
        <v>13.600000000000001</v>
      </c>
      <c r="AM16" s="62">
        <f>SUM(SMALL(AL16:AL27,{1,2,3,4,5,6}))/6</f>
        <v>10.533333333333333</v>
      </c>
      <c r="AN16" s="36">
        <v>1200</v>
      </c>
      <c r="AO16" s="36">
        <v>11</v>
      </c>
      <c r="AP16" s="62">
        <f>SUM(SMALL(AO16:AO27,{1,2,3,4,5,6}))/6</f>
        <v>12.033333333333333</v>
      </c>
      <c r="AQ16" s="36"/>
      <c r="AR16" s="36">
        <v>11</v>
      </c>
      <c r="AS16" s="62">
        <f>SUM(SMALL(AR16:AR27,{1,2,3,4,5,6}))/6</f>
        <v>10.666666666666666</v>
      </c>
      <c r="AT16" s="64">
        <v>-1500</v>
      </c>
      <c r="AU16" s="36">
        <v>11</v>
      </c>
      <c r="AV16" s="62">
        <f>SUM(SMALL(AU16:AU27,{1,2,3,4,5,6}))/6</f>
        <v>12.5</v>
      </c>
      <c r="AW16" s="36">
        <v>-200</v>
      </c>
      <c r="AX16" s="36">
        <v>18</v>
      </c>
      <c r="AY16" s="62">
        <f>SUM(SMALL(AX16:AX26,{1,2,3,4,5,6}))/6</f>
        <v>16.166666666666668</v>
      </c>
      <c r="AZ16" s="36"/>
      <c r="BA16" s="36">
        <v>11</v>
      </c>
      <c r="BB16" s="62">
        <f>SUM(SMALL(BA16:BA27,{1,2,3,4,5,6}))/6</f>
        <v>8.4333333333333336</v>
      </c>
      <c r="BC16" s="36">
        <v>-800</v>
      </c>
      <c r="BD16" s="36">
        <v>14</v>
      </c>
      <c r="BE16" s="62">
        <f>SUM(SMALL(BD16:BD27,{1,2,3,4,5,6}))/6</f>
        <v>10.333333333333334</v>
      </c>
      <c r="BF16" s="36">
        <v>-3300</v>
      </c>
      <c r="BG16" s="36">
        <f>22*0.8</f>
        <v>17.600000000000001</v>
      </c>
      <c r="BH16" s="62">
        <v>12.033333333333333</v>
      </c>
    </row>
    <row r="17" spans="1:60" ht="12" customHeight="1" x14ac:dyDescent="0.25">
      <c r="A17" s="36"/>
      <c r="B17" s="36">
        <v>5</v>
      </c>
      <c r="C17" s="62">
        <f>SUM(SMALL(B17:B28,{1,2,3,4,5,6}))/6</f>
        <v>5.833333333333333</v>
      </c>
      <c r="D17" s="36">
        <v>1800</v>
      </c>
      <c r="E17" s="36">
        <v>10</v>
      </c>
      <c r="F17" s="62">
        <f>SUM(SMALL(E17:E28,{1,2,3,4,5,6}))/6</f>
        <v>6</v>
      </c>
      <c r="G17" s="36"/>
      <c r="H17" s="36">
        <v>2</v>
      </c>
      <c r="I17" s="62">
        <f>SUM(SMALL(H17:H28,{1,2,3,4,5,6}))/6</f>
        <v>2.6666666666666665</v>
      </c>
      <c r="J17" s="36">
        <v>1500</v>
      </c>
      <c r="K17" s="36">
        <v>6</v>
      </c>
      <c r="L17" s="62">
        <f>SUM(SMALL(K17:K28,{1,2,3,4,5,6}))/6</f>
        <v>10</v>
      </c>
      <c r="M17" s="36"/>
      <c r="N17" s="36">
        <v>21</v>
      </c>
      <c r="O17" s="62">
        <f>SUM(SMALL(N17:N28,{1,2,3,4,5,6}))/6</f>
        <v>12.833333333333334</v>
      </c>
      <c r="P17" s="36"/>
      <c r="Q17" s="36">
        <v>12</v>
      </c>
      <c r="R17" s="62">
        <f>SUM(SMALL(Q17:Q28,{1,2,3,4,5,6}))/6</f>
        <v>8.3333333333333339</v>
      </c>
      <c r="S17" s="36"/>
      <c r="T17" s="36">
        <v>22</v>
      </c>
      <c r="U17" s="62">
        <f>SUM(SMALL(T17:T28,{1,2,3,4,5,6}))/6</f>
        <v>13.633333333333333</v>
      </c>
      <c r="V17" s="36"/>
      <c r="W17" s="36">
        <v>14</v>
      </c>
      <c r="X17" s="62">
        <f>SUM(SMALL(W17:W28,{1,2,3,4,5,6}))/6</f>
        <v>10.5</v>
      </c>
      <c r="Y17" s="64"/>
      <c r="Z17" s="36">
        <v>15</v>
      </c>
      <c r="AA17" s="62">
        <f>SUM(SMALL(Z17:Z28,{1,2,3,4,5,6}))/6</f>
        <v>14.333333333333334</v>
      </c>
      <c r="AB17" s="36">
        <v>-300</v>
      </c>
      <c r="AC17" s="36">
        <v>10</v>
      </c>
      <c r="AD17" s="62">
        <f>SUM(SMALL(AC17:AC28,{1,2,3,4,5,6}))/6</f>
        <v>9.6666666666666661</v>
      </c>
      <c r="AE17" s="64"/>
      <c r="AF17" s="36">
        <v>6</v>
      </c>
      <c r="AG17" s="62">
        <f>SUM(SMALL(AF17:AF28,{1,2,3,4,5,6}))/6</f>
        <v>3.8333333333333335</v>
      </c>
      <c r="AH17" s="36"/>
      <c r="AI17" s="36">
        <v>16</v>
      </c>
      <c r="AJ17" s="62">
        <f>SUM(SMALL(AI17:AI28,{1,2,3,4,5,6}))/6</f>
        <v>10.5</v>
      </c>
      <c r="AK17" s="64">
        <v>1500</v>
      </c>
      <c r="AL17" s="36">
        <v>9</v>
      </c>
      <c r="AM17" s="62">
        <f>SUM(SMALL(AL17:AL28,{1,2,3,4,5,6}))/6</f>
        <v>10.6</v>
      </c>
      <c r="AN17" s="36">
        <v>-300</v>
      </c>
      <c r="AO17" s="36">
        <v>17</v>
      </c>
      <c r="AP17" s="62">
        <f>SUM(SMALL(AO17:AO28,{1,2,3,4,5,6}))/6</f>
        <v>12.583333333333334</v>
      </c>
      <c r="AQ17" s="36"/>
      <c r="AR17" s="36">
        <v>12</v>
      </c>
      <c r="AS17" s="62">
        <f>SUM(SMALL(AR17:AR28,{1,2,3,4,5,6}))/6</f>
        <v>10.833333333333334</v>
      </c>
      <c r="AT17" s="64"/>
      <c r="AU17" s="36">
        <v>17</v>
      </c>
      <c r="AV17" s="62">
        <f>SUM(SMALL(AU17:AU28,{1,2,3,4,5,6}))/6</f>
        <v>13</v>
      </c>
      <c r="AW17" s="36">
        <v>-200</v>
      </c>
      <c r="AX17" s="36">
        <v>18</v>
      </c>
      <c r="AY17" s="62">
        <f>SUM(SMALL(AX17:AX26,{1,2,3,4,5,6}))/6</f>
        <v>16.166666666666668</v>
      </c>
      <c r="AZ17" s="36">
        <v>3000</v>
      </c>
      <c r="BA17" s="36">
        <v>13</v>
      </c>
      <c r="BB17" s="62">
        <f>SUM(SMALL(BA17:BA28,{1,2,3,4,5,6}))/6</f>
        <v>8.4333333333333336</v>
      </c>
      <c r="BC17" s="36">
        <v>-3600</v>
      </c>
      <c r="BD17" s="36">
        <v>17</v>
      </c>
      <c r="BE17" s="62">
        <f>SUM(SMALL(BD17:BD28,{1,2,3,4,5,6}))/6</f>
        <v>9.6666666666666661</v>
      </c>
      <c r="BF17" s="36"/>
      <c r="BG17" s="36">
        <v>14</v>
      </c>
      <c r="BH17" s="62">
        <v>12.033333333333333</v>
      </c>
    </row>
    <row r="18" spans="1:60" ht="12" customHeight="1" x14ac:dyDescent="0.25">
      <c r="A18" s="36">
        <v>4000</v>
      </c>
      <c r="B18" s="36">
        <v>6</v>
      </c>
      <c r="C18" s="62">
        <f>SUM(SMALL(B18:B29,{1,2,3,4,5,6}))/6</f>
        <v>6.333333333333333</v>
      </c>
      <c r="D18" s="36"/>
      <c r="E18" s="36">
        <v>8</v>
      </c>
      <c r="F18" s="62">
        <f>SUM(SMALL(E18:E29,{1,2,3,4,5,6}))/6</f>
        <v>5.5</v>
      </c>
      <c r="G18" s="36"/>
      <c r="H18" s="36">
        <v>8</v>
      </c>
      <c r="I18" s="62">
        <f>SUM(SMALL(H18:H29,{1,2,3,4,5,6}))/6</f>
        <v>2.5</v>
      </c>
      <c r="J18" s="36"/>
      <c r="K18" s="36">
        <v>16</v>
      </c>
      <c r="L18" s="62">
        <f>SUM(SMALL(K18:K29,{1,2,3,4,5,6}))/6</f>
        <v>11.166666666666666</v>
      </c>
      <c r="M18" s="36"/>
      <c r="N18" s="36">
        <v>17</v>
      </c>
      <c r="O18" s="62">
        <f>SUM(SMALL(N18:N29,{1,2,3,4,5,6}))/6</f>
        <v>12.833333333333334</v>
      </c>
      <c r="P18" s="36"/>
      <c r="Q18" s="36">
        <v>7</v>
      </c>
      <c r="R18" s="62">
        <f>SUM(SMALL(Q18:Q29,{1,2,3,4,5,6}))/6</f>
        <v>8.3333333333333339</v>
      </c>
      <c r="S18" s="36"/>
      <c r="T18" s="36">
        <v>17</v>
      </c>
      <c r="U18" s="62">
        <f>SUM(SMALL(T18:T29,{1,2,3,4,5,6}))/6</f>
        <v>13.633333333333333</v>
      </c>
      <c r="V18" s="36"/>
      <c r="W18" s="36">
        <v>14</v>
      </c>
      <c r="X18" s="62">
        <f>SUM(SMALL(W18:W29,{1,2,3,4,5,6}))/6</f>
        <v>10.5</v>
      </c>
      <c r="Y18" s="64">
        <v>1000</v>
      </c>
      <c r="Z18" s="36">
        <v>19</v>
      </c>
      <c r="AA18" s="62">
        <f>SUM(SMALL(Z18:Z29,{1,2,3,4,5,6}))/6</f>
        <v>14.666666666666666</v>
      </c>
      <c r="AB18" s="36">
        <v>-2000</v>
      </c>
      <c r="AC18" s="36">
        <v>13</v>
      </c>
      <c r="AD18" s="62">
        <f>SUM(SMALL(AC18:AC29,{1,2,3,4,5,6}))/6</f>
        <v>10.166666666666666</v>
      </c>
      <c r="AE18" s="64"/>
      <c r="AF18" s="36">
        <v>10</v>
      </c>
      <c r="AG18" s="62">
        <f>SUM(SMALL(AF18:AF29,{1,2,3,4,5,6}))/6</f>
        <v>3.8333333333333335</v>
      </c>
      <c r="AH18" s="36"/>
      <c r="AI18" s="36">
        <v>15</v>
      </c>
      <c r="AJ18" s="62">
        <f>SUM(SMALL(AI18:AI29,{1,2,3,4,5,6}))/6</f>
        <v>10.5</v>
      </c>
      <c r="AK18" s="64"/>
      <c r="AL18" s="36">
        <f>12*0.8</f>
        <v>9.6000000000000014</v>
      </c>
      <c r="AM18" s="62">
        <f>SUM(SMALL(AL18:AL29,{1,2,3,4,5,6}))/6</f>
        <v>11.433333333333332</v>
      </c>
      <c r="AN18" s="36"/>
      <c r="AO18" s="36">
        <f>12*1.1</f>
        <v>13.200000000000001</v>
      </c>
      <c r="AP18" s="62">
        <f>SUM(SMALL(AO18:AO29,{1,2,3,4,5,6}))/6</f>
        <v>12.583333333333334</v>
      </c>
      <c r="AQ18" s="36">
        <v>1500</v>
      </c>
      <c r="AR18" s="36">
        <v>8</v>
      </c>
      <c r="AS18" s="62">
        <f>SUM(SMALL(AR18:AR29,{1,2,3,4,5,6}))/6</f>
        <v>11</v>
      </c>
      <c r="AT18" s="64">
        <v>-600</v>
      </c>
      <c r="AU18" s="36">
        <v>15</v>
      </c>
      <c r="AV18" s="62">
        <f>SUM(SMALL(AU18:AU29,{1,2,3,4,5,6}))/6</f>
        <v>12.666666666666666</v>
      </c>
      <c r="AW18" s="36">
        <v>-200</v>
      </c>
      <c r="AX18" s="36">
        <v>18</v>
      </c>
      <c r="AY18" s="62">
        <f>SUM(SMALL(AX18:AX26,{1,2,3,4,5,6}))/6</f>
        <v>16.166666666666668</v>
      </c>
      <c r="AZ18" s="36"/>
      <c r="BA18" s="36">
        <v>10</v>
      </c>
      <c r="BB18" s="62">
        <f>SUM(SMALL(BA18:BA29,{1,2,3,4,5,6}))/6</f>
        <v>8.4333333333333336</v>
      </c>
      <c r="BC18" s="36"/>
      <c r="BD18" s="36">
        <v>17</v>
      </c>
      <c r="BE18" s="62">
        <f>SUM(SMALL(BD18:BD29,{1,2,3,4,5,6}))/6</f>
        <v>9.5</v>
      </c>
      <c r="BF18" s="36"/>
      <c r="BG18" s="36">
        <v>9</v>
      </c>
      <c r="BH18" s="62">
        <v>11.700000000000001</v>
      </c>
    </row>
    <row r="19" spans="1:60" ht="12" customHeight="1" x14ac:dyDescent="0.25">
      <c r="A19" s="36">
        <v>2700</v>
      </c>
      <c r="B19" s="36">
        <v>6</v>
      </c>
      <c r="C19" s="62">
        <f>SUM(SMALL(B19:B30,{1,2,3,4,5,6}))/6</f>
        <v>6.333333333333333</v>
      </c>
      <c r="D19" s="36">
        <v>-4000</v>
      </c>
      <c r="E19" s="36">
        <v>21</v>
      </c>
      <c r="F19" s="62">
        <f>SUM(SMALL(E19:E30,{1,2,3,4,5,6}))/6</f>
        <v>5.5</v>
      </c>
      <c r="G19" s="36"/>
      <c r="H19" s="36">
        <v>4</v>
      </c>
      <c r="I19" s="62">
        <f>SUM(SMALL(H19:H30,{1,2,3,4,5,6}))/6</f>
        <v>1.8333333333333333</v>
      </c>
      <c r="J19" s="36"/>
      <c r="K19" s="36">
        <v>8</v>
      </c>
      <c r="L19" s="62">
        <f>SUM(SMALL(K19:K30,{1,2,3,4,5,6}))/6</f>
        <v>11.166666666666666</v>
      </c>
      <c r="M19" s="36"/>
      <c r="N19" s="36">
        <v>16</v>
      </c>
      <c r="O19" s="62">
        <f>SUM(SMALL(N19:N30,{1,2,3,4,5,6}))/6</f>
        <v>12.716666666666667</v>
      </c>
      <c r="P19" s="36"/>
      <c r="Q19" s="36">
        <v>9</v>
      </c>
      <c r="R19" s="62">
        <f>SUM(SMALL(Q19:Q30,{1,2,3,4,5,6}))/6</f>
        <v>8.8333333333333339</v>
      </c>
      <c r="S19" s="36">
        <v>0</v>
      </c>
      <c r="T19" s="36">
        <v>15</v>
      </c>
      <c r="U19" s="62">
        <v>13.633333333333333</v>
      </c>
      <c r="V19" s="36"/>
      <c r="W19" s="36">
        <v>12</v>
      </c>
      <c r="X19" s="62">
        <f>SUM(SMALL(W19:W30,{1,2,3,4,5,6}))/6</f>
        <v>10.5</v>
      </c>
      <c r="Y19" s="64">
        <v>-2000</v>
      </c>
      <c r="Z19" s="36">
        <v>19</v>
      </c>
      <c r="AA19" s="62">
        <f>SUM(SMALL(Z19:Z30,{1,2,3,4,5,6}))/6</f>
        <v>14.666666666666666</v>
      </c>
      <c r="AB19" s="36"/>
      <c r="AC19" s="36">
        <v>10</v>
      </c>
      <c r="AD19" s="62">
        <v>9</v>
      </c>
      <c r="AE19" s="64"/>
      <c r="AF19" s="36">
        <v>5</v>
      </c>
      <c r="AG19" s="62">
        <f>SUM(SMALL(AF19:AF30,{1,2,3,4,5,6}))/6</f>
        <v>3.8333333333333335</v>
      </c>
      <c r="AH19" s="36"/>
      <c r="AI19" s="36">
        <v>10</v>
      </c>
      <c r="AJ19" s="62">
        <f>SUM(SMALL(AI19:AI30,{1,2,3,4,5,6}))/6</f>
        <v>10.166666666666666</v>
      </c>
      <c r="AK19" s="64"/>
      <c r="AL19" s="36">
        <v>11</v>
      </c>
      <c r="AM19" s="62">
        <f>SUM(SMALL(AL19:AL30,{1,2,3,4,5,6}))/6</f>
        <v>12.166666666666666</v>
      </c>
      <c r="AN19" s="36"/>
      <c r="AO19" s="36">
        <f>13*1.1</f>
        <v>14.3</v>
      </c>
      <c r="AP19" s="62">
        <f>SUM(SMALL(AO19:AO30,{1,2,3,4,5,6}))/6</f>
        <v>12.716666666666667</v>
      </c>
      <c r="AQ19" s="36">
        <v>-3000</v>
      </c>
      <c r="AR19" s="36">
        <v>11</v>
      </c>
      <c r="AS19" s="62">
        <f>SUM(SMALL(AR19:AR30,{1,2,3,4,5,6}))/6</f>
        <v>11.833333333333334</v>
      </c>
      <c r="AT19" s="64">
        <v>800</v>
      </c>
      <c r="AU19" s="36">
        <v>14</v>
      </c>
      <c r="AV19" s="62">
        <f>SUM(SMALL(AU19:AU30,{1,2,3,4,5,6}))/6</f>
        <v>12.666666666666666</v>
      </c>
      <c r="AW19" s="36">
        <v>-200</v>
      </c>
      <c r="AX19" s="36">
        <v>18</v>
      </c>
      <c r="AY19" s="62" t="e">
        <f>SUM(SMALL(AX19:AX26,{1,2,3,4,5,6}))/6</f>
        <v>#NUM!</v>
      </c>
      <c r="AZ19" s="36"/>
      <c r="BA19" s="36">
        <v>10</v>
      </c>
      <c r="BB19" s="62">
        <f>SUM(SMALL(BA19:BA30,{1,2,3,4,5,6}))/6</f>
        <v>8.4333333333333336</v>
      </c>
      <c r="BC19" s="36"/>
      <c r="BD19" s="36">
        <v>10</v>
      </c>
      <c r="BE19" s="62">
        <f>SUM(SMALL(BD19:BD30,{1,2,3,4,5,6}))/6</f>
        <v>9.5</v>
      </c>
      <c r="BF19" s="36">
        <v>-3300</v>
      </c>
      <c r="BG19" s="36">
        <v>13</v>
      </c>
      <c r="BH19" s="62">
        <v>12.466666666666669</v>
      </c>
    </row>
    <row r="20" spans="1:60" ht="12" customHeight="1" x14ac:dyDescent="0.25">
      <c r="A20" s="36"/>
      <c r="B20" s="36">
        <v>8</v>
      </c>
      <c r="C20" s="62">
        <f>SUM(SMALL(B20:B31,{1,2,3,4,5,6}))/6</f>
        <v>6</v>
      </c>
      <c r="D20" s="36"/>
      <c r="E20" s="36">
        <v>3</v>
      </c>
      <c r="F20" s="62">
        <f>SUM(SMALL(E20:E31,{1,2,3,4,5,6}))/6</f>
        <v>5.5</v>
      </c>
      <c r="G20" s="36"/>
      <c r="H20" s="36">
        <v>3</v>
      </c>
      <c r="I20" s="62">
        <f>SUM(SMALL(H20:H31,{1,2,3,4,5,6}))/6</f>
        <v>1.8333333333333333</v>
      </c>
      <c r="J20" s="36">
        <v>4000</v>
      </c>
      <c r="K20" s="36">
        <v>13</v>
      </c>
      <c r="L20" s="62">
        <f>SUM(SMALL(K20:K31,{1,2,3,4,5,6}))/6</f>
        <v>12</v>
      </c>
      <c r="M20" s="36">
        <v>-3000</v>
      </c>
      <c r="N20" s="36">
        <v>15</v>
      </c>
      <c r="O20" s="62">
        <f>SUM(SMALL(N20:N31,{1,2,3,4,5,6}))/6</f>
        <v>12.716666666666667</v>
      </c>
      <c r="P20" s="36"/>
      <c r="Q20" s="36">
        <v>10</v>
      </c>
      <c r="R20" s="62">
        <f>SUM(SMALL(Q20:Q31,{1,2,3,4,5,6}))/6</f>
        <v>9.1666666666666661</v>
      </c>
      <c r="S20" s="36">
        <v>4000</v>
      </c>
      <c r="T20" s="36">
        <v>15</v>
      </c>
      <c r="U20" s="62">
        <v>13.633333333333333</v>
      </c>
      <c r="V20" s="36"/>
      <c r="W20" s="36">
        <v>16</v>
      </c>
      <c r="X20" s="62">
        <f>SUM(SMALL(W20:W31,{1,2,3,4,5,6}))/6</f>
        <v>10</v>
      </c>
      <c r="Y20" s="64"/>
      <c r="Z20" s="36">
        <v>15</v>
      </c>
      <c r="AA20" s="62">
        <f>SUM(SMALL(Z20:Z31,{1,2,3,4,5,6}))/6</f>
        <v>14.666666666666666</v>
      </c>
      <c r="AB20" s="36">
        <v>300</v>
      </c>
      <c r="AC20" s="36">
        <v>14</v>
      </c>
      <c r="AD20" s="62">
        <v>8.8333333333333339</v>
      </c>
      <c r="AE20" s="64">
        <v>-600</v>
      </c>
      <c r="AF20" s="36">
        <v>6</v>
      </c>
      <c r="AG20" s="62">
        <f>SUM(SMALL(AF20:AF31,{1,2,3,4,5,6}))/6</f>
        <v>4</v>
      </c>
      <c r="AH20" s="36"/>
      <c r="AI20" s="36">
        <v>12</v>
      </c>
      <c r="AJ20" s="62">
        <f>SUM(SMALL(AI20:AI31,{1,2,3,4,5,6}))/6</f>
        <v>10.333333333333334</v>
      </c>
      <c r="AK20" s="64"/>
      <c r="AL20" s="36">
        <v>21</v>
      </c>
      <c r="AM20" s="62">
        <f>SUM(SMALL(AL20:AL31,{1,2,3,4,5,6}))/6</f>
        <v>13</v>
      </c>
      <c r="AN20" s="36">
        <v>150</v>
      </c>
      <c r="AO20" s="36">
        <v>11</v>
      </c>
      <c r="AP20" s="62">
        <f>SUM(SMALL(AO20:AO31,{1,2,3,4,5,6}))/6</f>
        <v>12.733333333333334</v>
      </c>
      <c r="AQ20" s="36">
        <v>4000</v>
      </c>
      <c r="AR20" s="36">
        <v>17</v>
      </c>
      <c r="AS20" s="62">
        <f>SUM(SMALL(AR20:AR31,{1,2,3,4,5,6}))/6</f>
        <v>12.5</v>
      </c>
      <c r="AT20" s="64">
        <v>-3600</v>
      </c>
      <c r="AU20" s="36">
        <v>18</v>
      </c>
      <c r="AV20" s="62">
        <f>SUM(SMALL(AU20:AU31,{1,2,3,4,5,6}))/6</f>
        <v>12.333333333333334</v>
      </c>
      <c r="AW20" s="36">
        <v>1000</v>
      </c>
      <c r="AX20" s="36">
        <v>11</v>
      </c>
      <c r="AY20" s="62" t="e">
        <f>SUM(SMALL(AX20:AX26,{1,2,3,4,5,6}))/6</f>
        <v>#NUM!</v>
      </c>
      <c r="AZ20" s="36"/>
      <c r="BA20" s="36">
        <v>16</v>
      </c>
      <c r="BB20" s="62">
        <f>SUM(SMALL(BA20:BA31,{1,2,3,4,5,6}))/6</f>
        <v>8.1</v>
      </c>
      <c r="BC20" s="36"/>
      <c r="BD20" s="36">
        <v>17</v>
      </c>
      <c r="BE20" s="62">
        <f>SUM(SMALL(BD20:BD31,{1,2,3,4,5,6}))/6</f>
        <v>9.8333333333333339</v>
      </c>
      <c r="BF20" s="36">
        <v>-1500</v>
      </c>
      <c r="BG20" s="36">
        <v>15</v>
      </c>
      <c r="BH20" s="62">
        <v>12.633333333333335</v>
      </c>
    </row>
    <row r="21" spans="1:60" ht="12" customHeight="1" x14ac:dyDescent="0.3">
      <c r="A21" s="36"/>
      <c r="B21" s="36">
        <v>5</v>
      </c>
      <c r="C21" s="62">
        <f>SUM(SMALL(B21:B32,{1,2,3,4,5,6}))/6</f>
        <v>6</v>
      </c>
      <c r="D21" s="36"/>
      <c r="E21" s="36">
        <v>7</v>
      </c>
      <c r="F21" s="62">
        <f>SUM(SMALL(E21:E32,{1,2,3,4,5,6}))/6</f>
        <v>6.166666666666667</v>
      </c>
      <c r="G21" s="36"/>
      <c r="H21" s="36">
        <v>5</v>
      </c>
      <c r="I21" s="62">
        <f>SUM(SMALL(H21:H32,{1,2,3,4,5,6}))/6</f>
        <v>2</v>
      </c>
      <c r="J21" s="36">
        <v>100</v>
      </c>
      <c r="K21" s="36">
        <v>15</v>
      </c>
      <c r="L21" s="62">
        <f>SUM(SMALL(K21:K32,{1,2,3,4,5,6}))/6</f>
        <v>12</v>
      </c>
      <c r="M21" s="36"/>
      <c r="N21" s="36">
        <v>14</v>
      </c>
      <c r="O21" s="62">
        <f>SUM(SMALL(N21:N32,{1,2,3,4,5,6}))/6</f>
        <v>12.716666666666667</v>
      </c>
      <c r="P21" s="36">
        <v>-2400</v>
      </c>
      <c r="Q21" s="36">
        <v>10</v>
      </c>
      <c r="R21" s="62">
        <f>SUM(SMALL(Q21:Q32,{1,2,3,4,5,6}))/6</f>
        <v>9.3333333333333339</v>
      </c>
      <c r="S21" s="61"/>
      <c r="T21" s="36">
        <v>17</v>
      </c>
      <c r="U21" s="62">
        <v>13.299999999999999</v>
      </c>
      <c r="V21" s="36"/>
      <c r="W21" s="36">
        <v>12</v>
      </c>
      <c r="X21" s="62">
        <f>SUM(SMALL(W21:W32,{1,2,3,4,5,6}))/6</f>
        <v>9.8333333333333339</v>
      </c>
      <c r="Y21" s="64"/>
      <c r="Z21" s="36">
        <v>11</v>
      </c>
      <c r="AA21" s="62">
        <f>SUM(SMALL(Z21:Z32,{1,2,3,4,5,6}))/6</f>
        <v>15.166666666666666</v>
      </c>
      <c r="AB21" s="36">
        <v>-1600</v>
      </c>
      <c r="AC21" s="36">
        <v>9</v>
      </c>
      <c r="AD21" s="62">
        <v>8.8333333333333339</v>
      </c>
      <c r="AE21" s="64">
        <v>100</v>
      </c>
      <c r="AF21" s="36">
        <v>9</v>
      </c>
      <c r="AG21" s="62">
        <f>SUM(SMALL(AF21:AF32,{1,2,3,4,5,6}))/6</f>
        <v>4.333333333333333</v>
      </c>
      <c r="AH21" s="36">
        <v>3000</v>
      </c>
      <c r="AI21" s="36">
        <v>11</v>
      </c>
      <c r="AJ21" s="62">
        <f>SUM(SMALL(AI21:AI32,{1,2,3,4,5,6}))/6</f>
        <v>10.333333333333334</v>
      </c>
      <c r="AK21" s="64"/>
      <c r="AL21" s="36">
        <v>16</v>
      </c>
      <c r="AM21" s="62">
        <f>SUM(SMALL(AL21:AL32,{1,2,3,4,5,6}))/6</f>
        <v>13</v>
      </c>
      <c r="AN21" s="36">
        <v>-900</v>
      </c>
      <c r="AO21" s="36">
        <v>20</v>
      </c>
      <c r="AP21" s="62">
        <v>13.3375</v>
      </c>
      <c r="AQ21" s="36">
        <v>-2500</v>
      </c>
      <c r="AR21" s="36">
        <v>13</v>
      </c>
      <c r="AS21" s="62">
        <f>SUM(SMALL(AR21:AR32,{1,2,3,4,5,6}))/6</f>
        <v>12.5</v>
      </c>
      <c r="AT21" s="64"/>
      <c r="AU21" s="36">
        <v>16</v>
      </c>
      <c r="AV21" s="62">
        <f>SUM(SMALL(AU21:AU32,{1,2,3,4,5,6}))/6</f>
        <v>12.333333333333334</v>
      </c>
      <c r="AW21" s="36"/>
      <c r="AX21" s="38">
        <v>18</v>
      </c>
      <c r="AY21" s="62" t="e">
        <f>SUM(SMALL(AX21:AX26,{1,2,3,4,5,6}))/6</f>
        <v>#NUM!</v>
      </c>
      <c r="AZ21" s="36">
        <v>-1500</v>
      </c>
      <c r="BA21" s="36">
        <v>7</v>
      </c>
      <c r="BB21" s="62">
        <f>SUM(SMALL(BA21:BA32,{1,2,3,4,5,6}))/6</f>
        <v>8.1</v>
      </c>
      <c r="BC21" s="36"/>
      <c r="BD21" s="36">
        <v>12</v>
      </c>
      <c r="BE21" s="62">
        <f>SUM(SMALL(BD21:BD32,{1,2,3,4,5,6}))/6</f>
        <v>9.8333333333333339</v>
      </c>
      <c r="BF21" s="36"/>
      <c r="BG21" s="36">
        <v>15</v>
      </c>
      <c r="BH21" s="62">
        <v>12.633333333333335</v>
      </c>
    </row>
    <row r="22" spans="1:60" ht="12" customHeight="1" x14ac:dyDescent="0.3">
      <c r="A22" s="36"/>
      <c r="B22" s="36">
        <v>8</v>
      </c>
      <c r="C22" s="62">
        <f>SUM(SMALL(B22:B33,{1,2,3,4,5,6}))/6</f>
        <v>6.5</v>
      </c>
      <c r="D22" s="36"/>
      <c r="E22" s="36">
        <v>6</v>
      </c>
      <c r="F22" s="62">
        <f>SUM(SMALL(E22:E33,{1,2,3,4,5,6}))/6</f>
        <v>6.5</v>
      </c>
      <c r="G22" s="36"/>
      <c r="H22" s="36">
        <v>3</v>
      </c>
      <c r="I22" s="62">
        <f>SUM(SMALL(H22:H33,{1,2,3,4,5,6}))/6</f>
        <v>2</v>
      </c>
      <c r="J22" s="36"/>
      <c r="K22" s="36">
        <v>11</v>
      </c>
      <c r="L22" s="62">
        <f>SUM(SMALL(K22:K33,{1,2,3,4,5,6}))/6</f>
        <v>10.833333333333334</v>
      </c>
      <c r="M22" s="36"/>
      <c r="N22" s="36">
        <v>9</v>
      </c>
      <c r="O22" s="62">
        <f>SUM(SMALL(N22:N33,{1,2,3,4,5,6}))/6</f>
        <v>12.049999999999999</v>
      </c>
      <c r="P22" s="36">
        <v>600</v>
      </c>
      <c r="Q22" s="36">
        <v>11</v>
      </c>
      <c r="R22" s="62">
        <f>SUM(SMALL(Q22:Q33,{1,2,3,4,5,6}))/6</f>
        <v>9.6666666666666661</v>
      </c>
      <c r="S22" s="61"/>
      <c r="T22" s="36">
        <v>18</v>
      </c>
      <c r="U22" s="62">
        <v>13.299999999999999</v>
      </c>
      <c r="V22" s="36">
        <v>-1000</v>
      </c>
      <c r="W22" s="36">
        <v>14</v>
      </c>
      <c r="X22" s="62">
        <f>SUM(SMALL(W22:W33,{1,2,3,4,5,6}))/6</f>
        <v>9.1666666666666661</v>
      </c>
      <c r="Y22" s="64">
        <v>-1200</v>
      </c>
      <c r="Z22" s="36">
        <v>20</v>
      </c>
      <c r="AA22" s="62">
        <f>SUM(SMALL(Z22:Z33,{1,2,3,4,5,6}))/6</f>
        <v>16.133333333333333</v>
      </c>
      <c r="AB22" s="36">
        <v>900</v>
      </c>
      <c r="AC22" s="36">
        <v>17</v>
      </c>
      <c r="AD22" s="62">
        <v>9.5</v>
      </c>
      <c r="AE22" s="64">
        <v>3600</v>
      </c>
      <c r="AF22" s="36">
        <v>10</v>
      </c>
      <c r="AG22" s="62">
        <f>SUM(SMALL(AF22:AF33,{1,2,3,4,5,6}))/6</f>
        <v>4.333333333333333</v>
      </c>
      <c r="AH22" s="36">
        <v>0</v>
      </c>
      <c r="AI22" s="36">
        <v>14</v>
      </c>
      <c r="AJ22" s="62">
        <f>SUM(SMALL(AI22:AI33,{1,2,3,4,5,6}))/6</f>
        <v>10.666666666666666</v>
      </c>
      <c r="AK22" s="64"/>
      <c r="AL22" s="36">
        <v>18</v>
      </c>
      <c r="AM22" s="62">
        <f>SUM(SMALL(AL22:AL33,{1,2,3,4,5,6}))/6</f>
        <v>13</v>
      </c>
      <c r="AN22" s="61"/>
      <c r="AO22" s="36">
        <v>16</v>
      </c>
      <c r="AP22" s="62">
        <v>13.3375</v>
      </c>
      <c r="AQ22" s="36"/>
      <c r="AR22" s="36">
        <v>16</v>
      </c>
      <c r="AS22" s="62">
        <f>SUM(SMALL(AR22:AR33,{1,2,3,4,5,6}))/6</f>
        <v>13</v>
      </c>
      <c r="AT22" s="64"/>
      <c r="AU22" s="36">
        <v>13</v>
      </c>
      <c r="AV22" s="62">
        <f>SUM(SMALL(AU22:AU33,{1,2,3,4,5,6}))/6</f>
        <v>12.333333333333334</v>
      </c>
      <c r="AW22" s="36"/>
      <c r="AX22" s="36">
        <v>14</v>
      </c>
      <c r="AY22" s="62"/>
      <c r="AZ22" s="36">
        <v>-1000</v>
      </c>
      <c r="BA22" s="36">
        <v>15</v>
      </c>
      <c r="BB22" s="62">
        <f>SUM(SMALL(BA22:BA33,{1,2,3,4,5,6}))/6</f>
        <v>8.6</v>
      </c>
      <c r="BC22" s="36">
        <v>2000</v>
      </c>
      <c r="BD22" s="36">
        <v>7</v>
      </c>
      <c r="BE22" s="62">
        <f>SUM(SMALL(BD22:BD33,{1,2,3,4,5,6}))/6</f>
        <v>9.6666666666666661</v>
      </c>
      <c r="BF22" s="36"/>
      <c r="BG22" s="38">
        <v>15</v>
      </c>
      <c r="BH22" s="62">
        <v>12.633333333333335</v>
      </c>
    </row>
    <row r="23" spans="1:60" ht="12" customHeight="1" x14ac:dyDescent="0.25">
      <c r="A23" s="36"/>
      <c r="B23" s="36">
        <v>12</v>
      </c>
      <c r="C23" s="62">
        <f>SUM(SMALL(B23:B34,{1,2,3,4,5,6}))/6</f>
        <v>5.666666666666667</v>
      </c>
      <c r="D23" s="36"/>
      <c r="E23" s="36">
        <v>14</v>
      </c>
      <c r="F23" s="62">
        <f>SUM(SMALL(E23:E34,{1,2,3,4,5,6}))/6</f>
        <v>7.333333333333333</v>
      </c>
      <c r="G23" s="36">
        <v>1000</v>
      </c>
      <c r="H23" s="36">
        <v>5</v>
      </c>
      <c r="I23" s="62">
        <f>SUM(SMALL(H23:H34,{1,2,3,4,5,6}))/6</f>
        <v>2.1666666666666665</v>
      </c>
      <c r="J23" s="36"/>
      <c r="K23" s="36">
        <v>13</v>
      </c>
      <c r="L23" s="62">
        <f>SUM(SMALL(K23:K34,{1,2,3,4,5,6}))/6</f>
        <v>10.666666666666666</v>
      </c>
      <c r="M23" s="36"/>
      <c r="N23" s="36">
        <v>16</v>
      </c>
      <c r="O23" s="62">
        <f>SUM(SMALL(N23:N34,{1,2,3,4,5,6}))/6</f>
        <v>12.478571428571428</v>
      </c>
      <c r="P23" s="36">
        <v>600</v>
      </c>
      <c r="Q23" s="36">
        <v>13</v>
      </c>
      <c r="R23" s="62">
        <f>SUM(SMALL(Q23:Q34,{1,2,3,4,5,6}))/6</f>
        <v>9.5</v>
      </c>
      <c r="S23" s="36"/>
      <c r="T23" s="36">
        <f>16*0.8</f>
        <v>12.8</v>
      </c>
      <c r="U23" s="62">
        <v>13.299999999999999</v>
      </c>
      <c r="V23" s="36"/>
      <c r="W23" s="36">
        <v>15</v>
      </c>
      <c r="X23" s="62">
        <f>SUM(SMALL(W23:W34,{1,2,3,4,5,6}))/6</f>
        <v>9.1666666666666661</v>
      </c>
      <c r="Y23" s="64"/>
      <c r="Z23" s="36">
        <v>17</v>
      </c>
      <c r="AA23" s="62">
        <f>SUM(SMALL(Z23:Z34,{1,2,3,4,5,6}))/6</f>
        <v>16.133333333333333</v>
      </c>
      <c r="AB23" s="36"/>
      <c r="AC23" s="36">
        <v>10</v>
      </c>
      <c r="AD23" s="62">
        <v>9.5</v>
      </c>
      <c r="AE23" s="64"/>
      <c r="AF23" s="36">
        <v>3</v>
      </c>
      <c r="AG23" s="62">
        <f>SUM(SMALL(AF23:AF34,{1,2,3,4,5,6}))/6</f>
        <v>4</v>
      </c>
      <c r="AH23" s="36">
        <v>-4000</v>
      </c>
      <c r="AI23" s="36">
        <v>15</v>
      </c>
      <c r="AJ23" s="62">
        <f>SUM(SMALL(AI23:AI34,{1,2,3,4,5,6}))/6</f>
        <v>10.333333333333334</v>
      </c>
      <c r="AK23" s="64"/>
      <c r="AL23" s="36">
        <v>17</v>
      </c>
      <c r="AM23" s="62">
        <f>SUM(SMALL(AL23:AL34,{1,2,3,4,5,6}))/6</f>
        <v>12.666666666666666</v>
      </c>
      <c r="AN23" s="61"/>
      <c r="AO23" s="36">
        <v>13</v>
      </c>
      <c r="AP23" s="62">
        <v>13.283333333333331</v>
      </c>
      <c r="AQ23" s="36"/>
      <c r="AR23" s="36">
        <v>15</v>
      </c>
      <c r="AS23" s="62">
        <f>SUM(SMALL(AR23:AR34,{1,2,3,4,5,6}))/6</f>
        <v>13</v>
      </c>
      <c r="AT23" s="64"/>
      <c r="AU23" s="36">
        <v>13</v>
      </c>
      <c r="AV23" s="62">
        <f>SUM(SMALL(AU23:AU34,{1,2,3,4,5,6}))/6</f>
        <v>12.333333333333334</v>
      </c>
      <c r="AW23" s="36"/>
      <c r="AX23" s="36">
        <v>18</v>
      </c>
      <c r="AY23" s="62"/>
      <c r="AZ23" s="36">
        <v>-2000</v>
      </c>
      <c r="BA23" s="36">
        <v>9</v>
      </c>
      <c r="BB23" s="62">
        <f>SUM(SMALL(BA23:BA34,{1,2,3,4,5,6}))/6</f>
        <v>8.6</v>
      </c>
      <c r="BC23" s="36"/>
      <c r="BD23" s="36">
        <v>13</v>
      </c>
      <c r="BE23" s="62">
        <f>SUM(SMALL(BD23:BD34,{1,2,3,4,5,6}))/6</f>
        <v>10.5</v>
      </c>
      <c r="BF23" s="36"/>
      <c r="BG23" s="36"/>
      <c r="BH23" s="62"/>
    </row>
    <row r="24" spans="1:60" ht="12" customHeight="1" x14ac:dyDescent="0.25">
      <c r="A24" s="36"/>
      <c r="B24" s="36">
        <v>14</v>
      </c>
      <c r="C24" s="62">
        <f>SUM(SMALL(B24:B35,{1,2,3,4,5,6}))/6</f>
        <v>5.666666666666667</v>
      </c>
      <c r="D24" s="36"/>
      <c r="E24" s="36">
        <v>6</v>
      </c>
      <c r="F24" s="62">
        <f>SUM(SMALL(E24:E35,{1,2,3,4,5,6}))/6</f>
        <v>7.333333333333333</v>
      </c>
      <c r="G24" s="36">
        <v>-1000</v>
      </c>
      <c r="H24" s="36">
        <v>12</v>
      </c>
      <c r="I24" s="62">
        <f>SUM(SMALL(H24:H35,{1,2,3,4,5,6}))/6</f>
        <v>2.1666666666666665</v>
      </c>
      <c r="J24" s="36"/>
      <c r="K24" s="36">
        <v>13</v>
      </c>
      <c r="L24" s="62">
        <f>SUM(SMALL(K24:K35,{1,2,3,4,5,6}))/6</f>
        <v>9.6666666666666661</v>
      </c>
      <c r="M24" s="36"/>
      <c r="N24" s="36">
        <v>14</v>
      </c>
      <c r="O24" s="62">
        <f>SUM(SMALL(N24:N35,{1,2,3,4,5,6}))/6</f>
        <v>11.761904761904761</v>
      </c>
      <c r="P24" s="36">
        <v>-2100</v>
      </c>
      <c r="Q24" s="36">
        <f>15*0.8</f>
        <v>12</v>
      </c>
      <c r="R24" s="62">
        <f>SUM(SMALL(Q24:Q35,{1,2,3,4,5,6}))/6</f>
        <v>9.1666666666666661</v>
      </c>
      <c r="S24" s="36">
        <v>-500</v>
      </c>
      <c r="T24" s="36">
        <v>15</v>
      </c>
      <c r="U24" s="62">
        <v>13.833333333333334</v>
      </c>
      <c r="V24" s="36">
        <v>3000</v>
      </c>
      <c r="W24" s="36">
        <v>10</v>
      </c>
      <c r="X24" s="62">
        <f>SUM(SMALL(W24:W35,{1,2,3,4,5,6}))/6</f>
        <v>9.1666666666666661</v>
      </c>
      <c r="Y24" s="64"/>
      <c r="Z24" s="36">
        <v>15</v>
      </c>
      <c r="AA24" s="62">
        <f>SUM(SMALL(Z24:Z35,{1,2,3,4,5,6}))/6</f>
        <v>15.466666666666667</v>
      </c>
      <c r="AB24" s="36"/>
      <c r="AC24" s="36">
        <v>19</v>
      </c>
      <c r="AD24" s="62">
        <v>10</v>
      </c>
      <c r="AE24" s="64"/>
      <c r="AF24" s="36">
        <v>6</v>
      </c>
      <c r="AG24" s="62">
        <f>SUM(SMALL(AF24:AF35,{1,2,3,4,5,6}))/6</f>
        <v>4.833333333333333</v>
      </c>
      <c r="AH24" s="36"/>
      <c r="AI24" s="36">
        <v>11</v>
      </c>
      <c r="AJ24" s="62">
        <f>SUM(SMALL(AI24:AI35,{1,2,3,4,5,6}))/6</f>
        <v>10.333333333333334</v>
      </c>
      <c r="AK24" s="64">
        <v>1000</v>
      </c>
      <c r="AL24" s="36">
        <v>14</v>
      </c>
      <c r="AM24" s="62">
        <f>SUM(SMALL(AL24:AL35,{1,2,3,4,5,6}))/6</f>
        <v>12.666666666666666</v>
      </c>
      <c r="AN24" s="61"/>
      <c r="AO24" s="36">
        <v>16</v>
      </c>
      <c r="AP24" s="62">
        <v>13.554166666666665</v>
      </c>
      <c r="AQ24" s="36"/>
      <c r="AR24" s="36">
        <v>12</v>
      </c>
      <c r="AS24" s="62">
        <f>SUM(SMALL(AR24:AR35,{1,2,3,4,5,6}))/6</f>
        <v>13</v>
      </c>
      <c r="AT24" s="64"/>
      <c r="AU24" s="36">
        <v>14</v>
      </c>
      <c r="AV24" s="62">
        <f>SUM(SMALL(AU24:AU35,{1,2,3,4,5,6}))/6</f>
        <v>12.5</v>
      </c>
      <c r="AW24" s="36"/>
      <c r="AX24" s="36"/>
      <c r="AY24" s="62"/>
      <c r="AZ24" s="36"/>
      <c r="BA24" s="36">
        <f>11*0.8</f>
        <v>8.8000000000000007</v>
      </c>
      <c r="BB24" s="62">
        <f>SUM(SMALL(BA24:BA35,{1,2,3,4,5,6}))/6</f>
        <v>8.7666666666666675</v>
      </c>
      <c r="BC24" s="36">
        <v>3000</v>
      </c>
      <c r="BD24" s="36">
        <v>13</v>
      </c>
      <c r="BE24" s="62">
        <f>SUM(SMALL(BD24:BD35,{1,2,3,4,5,6}))/6</f>
        <v>10.166666666666666</v>
      </c>
      <c r="BF24" s="36"/>
      <c r="BG24" s="36"/>
      <c r="BH24" s="62"/>
    </row>
    <row r="25" spans="1:60" ht="12" customHeight="1" x14ac:dyDescent="0.25">
      <c r="A25" s="36"/>
      <c r="B25" s="36">
        <v>8</v>
      </c>
      <c r="C25" s="62">
        <f>SUM(SMALL(B25:B36,{1,2,3,4,5,6}))/6</f>
        <v>5.5</v>
      </c>
      <c r="D25" s="36"/>
      <c r="E25" s="36">
        <v>6</v>
      </c>
      <c r="F25" s="62">
        <f>SUM(SMALL(E25:E36,{1,2,3,4,5,6}))/6</f>
        <v>8.1666666666666661</v>
      </c>
      <c r="G25" s="36">
        <v>0</v>
      </c>
      <c r="H25" s="36">
        <v>1</v>
      </c>
      <c r="I25" s="62">
        <f>SUM(SMALL(H25:H36,{1,2,3,4,5,6}))/6</f>
        <v>2.1666666666666665</v>
      </c>
      <c r="J25" s="36"/>
      <c r="K25" s="36">
        <v>14</v>
      </c>
      <c r="L25" s="62">
        <f>SUM(SMALL(K25:K36,{1,2,3,4,5,6}))/6</f>
        <v>9</v>
      </c>
      <c r="M25" s="36">
        <v>-1500</v>
      </c>
      <c r="N25" s="36">
        <v>13</v>
      </c>
      <c r="O25" s="62">
        <f>SUM(SMALL(N25:N36,{1,2,3,4,5,6}))/6</f>
        <v>11.811904761904762</v>
      </c>
      <c r="P25" s="36">
        <v>-1000</v>
      </c>
      <c r="Q25" s="36">
        <f>12*1.1</f>
        <v>13.200000000000001</v>
      </c>
      <c r="R25" s="62">
        <f>SUM(SMALL(Q25:Q36,{1,2,3,4,5,6}))/6</f>
        <v>9.1666666666666661</v>
      </c>
      <c r="S25" s="36">
        <v>3300</v>
      </c>
      <c r="T25" s="36">
        <v>10</v>
      </c>
      <c r="U25" s="62">
        <v>14</v>
      </c>
      <c r="V25" s="36">
        <v>2000</v>
      </c>
      <c r="W25" s="36">
        <v>12</v>
      </c>
      <c r="X25" s="62">
        <f>SUM(SMALL(W25:W36,{1,2,3,4,5,6}))/6</f>
        <v>9.5</v>
      </c>
      <c r="Y25" s="64"/>
      <c r="Z25" s="36">
        <v>18</v>
      </c>
      <c r="AA25" s="62">
        <f>SUM(SMALL(Z25:Z36,{1,2,3,4,5,6}))/6</f>
        <v>16.133333333333333</v>
      </c>
      <c r="AB25" s="36">
        <v>-1500</v>
      </c>
      <c r="AC25" s="36">
        <v>14</v>
      </c>
      <c r="AD25" s="62">
        <v>9.6666666666666661</v>
      </c>
      <c r="AE25" s="64"/>
      <c r="AF25" s="63">
        <v>-3</v>
      </c>
      <c r="AG25" s="62">
        <f>SUM(SMALL(AF25:AF36,{1,2,3,4,5,6}))/6</f>
        <v>4.833333333333333</v>
      </c>
      <c r="AH25" s="36">
        <v>1500</v>
      </c>
      <c r="AI25" s="36">
        <v>15</v>
      </c>
      <c r="AJ25" s="62">
        <f>SUM(SMALL(AI25:AI36,{1,2,3,4,5,6}))/6</f>
        <v>10.666666666666666</v>
      </c>
      <c r="AK25" s="64">
        <v>1000</v>
      </c>
      <c r="AL25" s="36">
        <v>11</v>
      </c>
      <c r="AM25" s="62">
        <f>SUM(SMALL(AL25:AL36,{1,2,3,4,5,6}))/6</f>
        <v>13</v>
      </c>
      <c r="AN25" s="61"/>
      <c r="AO25" s="36">
        <v>12</v>
      </c>
      <c r="AP25" s="62">
        <v>12.949999999999998</v>
      </c>
      <c r="AQ25" s="36"/>
      <c r="AR25" s="36">
        <v>21</v>
      </c>
      <c r="AS25" s="62">
        <f>SUM(SMALL(AR25:AR36,{1,2,3,4,5,6}))/6</f>
        <v>13.166666666666666</v>
      </c>
      <c r="AT25" s="64"/>
      <c r="AU25" s="36">
        <v>15</v>
      </c>
      <c r="AV25" s="62">
        <f>SUM(SMALL(AU25:AU36,{1,2,3,4,5,6}))/6</f>
        <v>12.666666666666666</v>
      </c>
      <c r="AZ25" s="36">
        <v>-2100</v>
      </c>
      <c r="BA25" s="36">
        <f>11*0.8</f>
        <v>8.8000000000000007</v>
      </c>
      <c r="BB25" s="62">
        <f>SUM(SMALL(BA25:BA36,{1,2,3,4,5,6}))/6</f>
        <v>8.6333333333333329</v>
      </c>
      <c r="BC25" s="36"/>
      <c r="BD25" s="36">
        <v>8</v>
      </c>
      <c r="BE25" s="62">
        <f>SUM(SMALL(BD25:BD36,{1,2,3,4,5,6}))/6</f>
        <v>10.166666666666666</v>
      </c>
      <c r="BF25" s="36"/>
      <c r="BG25" s="36"/>
      <c r="BH25" s="62"/>
    </row>
    <row r="26" spans="1:60" ht="12" customHeight="1" x14ac:dyDescent="0.25">
      <c r="A26" s="36"/>
      <c r="B26" s="36">
        <v>7</v>
      </c>
      <c r="C26" s="62">
        <f>SUM(SMALL(B26:B37,{1,2,3,4,5,6}))/6</f>
        <v>5.5</v>
      </c>
      <c r="D26" s="36"/>
      <c r="E26" s="36">
        <v>11</v>
      </c>
      <c r="F26" s="62">
        <f>SUM(SMALL(E26:E37,{1,2,3,4,5,6}))/6</f>
        <v>8.5</v>
      </c>
      <c r="G26" s="36">
        <v>0</v>
      </c>
      <c r="H26" s="36">
        <v>4</v>
      </c>
      <c r="I26" s="62">
        <f>SUM(SMALL(H26:H37,{1,2,3,4,5,6}))/6</f>
        <v>2.1666666666666665</v>
      </c>
      <c r="J26" s="36"/>
      <c r="K26" s="36">
        <v>12</v>
      </c>
      <c r="L26" s="62">
        <f>SUM(SMALL(K26:K37,{1,2,3,4,5,6}))/6</f>
        <v>8.5</v>
      </c>
      <c r="M26" s="36">
        <v>-1500</v>
      </c>
      <c r="N26" s="36">
        <v>12</v>
      </c>
      <c r="O26" s="62">
        <f>SUM(SMALL(N26:N37,{1,2,3,4,5,6}))/6</f>
        <v>12.045238095238096</v>
      </c>
      <c r="P26" s="36">
        <v>1500</v>
      </c>
      <c r="Q26" s="36">
        <v>8</v>
      </c>
      <c r="R26" s="62">
        <f>SUM(SMALL(Q26:Q37,{1,2,3,4,5,6}))/6</f>
        <v>8.6666666666666661</v>
      </c>
      <c r="S26" s="36"/>
      <c r="T26" s="36">
        <v>15</v>
      </c>
      <c r="U26" s="62">
        <v>14.666666666666666</v>
      </c>
      <c r="V26" s="36">
        <v>1000</v>
      </c>
      <c r="W26" s="36">
        <v>8</v>
      </c>
      <c r="X26" s="62">
        <f>SUM(SMALL(W26:W37,{1,2,3,4,5,6}))/6</f>
        <v>9.3333333333333339</v>
      </c>
      <c r="Y26" s="64"/>
      <c r="Z26" s="36">
        <v>22</v>
      </c>
      <c r="AA26" s="62">
        <f>SUM(SMALL(Z26:Z37,{1,2,3,4,5,6}))/6</f>
        <v>15.466666666666667</v>
      </c>
      <c r="AB26" s="36"/>
      <c r="AC26" s="36">
        <v>6</v>
      </c>
      <c r="AD26" s="62">
        <v>9.3333333333333339</v>
      </c>
      <c r="AE26" s="64"/>
      <c r="AF26" s="36">
        <v>8</v>
      </c>
      <c r="AG26" s="62">
        <f>SUM(SMALL(AF26:AF37,{1,2,3,4,5,6}))/6</f>
        <v>6.166666666666667</v>
      </c>
      <c r="AH26" s="36">
        <v>1000</v>
      </c>
      <c r="AI26" s="36">
        <v>12</v>
      </c>
      <c r="AJ26" s="62">
        <f>SUM(SMALL(AI26:AI37,{1,2,3,4,5,6}))/6</f>
        <v>10.666666666666666</v>
      </c>
      <c r="AK26" s="64">
        <v>-3000</v>
      </c>
      <c r="AL26" s="36">
        <v>18</v>
      </c>
      <c r="AM26" s="62">
        <f>SUM(SMALL(AL26:AL37,{1,2,3,4,5,6}))/6</f>
        <v>13.666666666666666</v>
      </c>
      <c r="AN26" s="61"/>
      <c r="AO26" s="36">
        <v>12</v>
      </c>
      <c r="AP26" s="62">
        <v>13.387499999999998</v>
      </c>
      <c r="AQ26" s="36"/>
      <c r="AR26" s="36">
        <v>10</v>
      </c>
      <c r="AS26" s="62">
        <f>SUM(SMALL(AR26:AR37,{1,2,3,4,5,6}))/6</f>
        <v>13.166666666666666</v>
      </c>
      <c r="AT26" s="64"/>
      <c r="AU26" s="36">
        <v>14</v>
      </c>
      <c r="AV26" s="62">
        <f>SUM(SMALL(AU26:AU37,{1,2,3,4,5,6}))/6</f>
        <v>12.166666666666666</v>
      </c>
      <c r="AZ26" s="36">
        <v>2000</v>
      </c>
      <c r="BA26" s="36">
        <v>7</v>
      </c>
      <c r="BB26" s="62">
        <f>SUM(SMALL(BA26:BA37,{1,2,3,4,5,6}))/6</f>
        <v>8.6666666666666661</v>
      </c>
      <c r="BC26" s="36">
        <v>2000</v>
      </c>
      <c r="BD26" s="36">
        <v>12</v>
      </c>
      <c r="BE26" s="62">
        <f>SUM(SMALL(BD26:BD37,{1,2,3,4,5,6}))/6</f>
        <v>10.833333333333334</v>
      </c>
      <c r="BF26" s="36"/>
      <c r="BG26" s="36"/>
      <c r="BH26" s="62"/>
    </row>
    <row r="27" spans="1:60" ht="12" customHeight="1" x14ac:dyDescent="0.25">
      <c r="A27" s="36">
        <v>1000</v>
      </c>
      <c r="B27" s="36">
        <v>6</v>
      </c>
      <c r="C27" s="62">
        <f>SUM(SMALL(B27:B38,{1,2,3,4,5,6}))/6</f>
        <v>5.666666666666667</v>
      </c>
      <c r="D27" s="36"/>
      <c r="E27" s="36">
        <v>9</v>
      </c>
      <c r="F27" s="62">
        <f>SUM(SMALL(E27:E38,{1,2,3,4,5,6}))/6</f>
        <v>8.5</v>
      </c>
      <c r="G27" s="36"/>
      <c r="H27" s="36">
        <v>3</v>
      </c>
      <c r="I27" s="62">
        <f>SUM(SMALL(H27:H38,{1,2,3,4,5,6}))/6</f>
        <v>2.1666666666666665</v>
      </c>
      <c r="J27" s="36"/>
      <c r="K27" s="36">
        <v>10</v>
      </c>
      <c r="L27" s="62">
        <f>SUM(SMALL(K27:K38,{1,2,3,4,5,6}))/6</f>
        <v>8.5</v>
      </c>
      <c r="M27" s="36">
        <v>2000</v>
      </c>
      <c r="N27" s="36">
        <v>19</v>
      </c>
      <c r="O27" s="62">
        <f>SUM(SMALL(N27:N38,{1,2,3,4,5,6}))/6</f>
        <v>11.378571428571428</v>
      </c>
      <c r="P27" s="36">
        <v>-1800</v>
      </c>
      <c r="Q27" s="36">
        <v>10</v>
      </c>
      <c r="R27" s="62">
        <f>SUM(SMALL(Q27:Q38,{1,2,3,4,5,6}))/6</f>
        <v>9.1666666666666661</v>
      </c>
      <c r="S27" s="36"/>
      <c r="T27" s="36">
        <v>16</v>
      </c>
      <c r="U27" s="62">
        <v>14.5</v>
      </c>
      <c r="V27" s="36"/>
      <c r="W27" s="36">
        <v>9</v>
      </c>
      <c r="X27" s="62">
        <f>SUM(SMALL(W27:W38,{1,2,3,4,5,6}))/6</f>
        <v>8.8333333333333339</v>
      </c>
      <c r="Y27" s="64"/>
      <c r="Z27" s="36">
        <v>14</v>
      </c>
      <c r="AA27" s="62">
        <f>SUM(SMALL(Z27:Z38,{1,2,3,4,5,6}))/6</f>
        <v>14.966666666666667</v>
      </c>
      <c r="AB27" s="36"/>
      <c r="AC27" s="36">
        <v>19</v>
      </c>
      <c r="AD27" s="62">
        <v>10.5</v>
      </c>
      <c r="AE27" s="64"/>
      <c r="AF27" s="36">
        <v>9</v>
      </c>
      <c r="AG27" s="62">
        <f>SUM(SMALL(AF27:AF38,{1,2,3,4,5,6}))/6</f>
        <v>6.166666666666667</v>
      </c>
      <c r="AH27" s="36">
        <v>1500</v>
      </c>
      <c r="AI27" s="36">
        <v>7</v>
      </c>
      <c r="AJ27" s="62">
        <f>SUM(SMALL(AI27:AI38,{1,2,3,4,5,6}))/6</f>
        <v>10.833333333333334</v>
      </c>
      <c r="AK27" s="64"/>
      <c r="AL27" s="36">
        <v>9</v>
      </c>
      <c r="AM27" s="62">
        <f>SUM(SMALL(AL27:AL38,{1,2,3,4,5,6}))/6</f>
        <v>12.833333333333334</v>
      </c>
      <c r="AN27" s="36">
        <v>2100</v>
      </c>
      <c r="AO27" s="36">
        <f>13*1.125</f>
        <v>14.625</v>
      </c>
      <c r="AP27" s="62">
        <v>13.887499999999998</v>
      </c>
      <c r="AQ27" s="36"/>
      <c r="AR27" s="36">
        <v>12</v>
      </c>
      <c r="AS27" s="62">
        <f>SUM(SMALL(AR27:AR38,{1,2,3,4,5,6}))/6</f>
        <v>14.166666666666666</v>
      </c>
      <c r="AT27" s="64">
        <v>2000</v>
      </c>
      <c r="AU27" s="36">
        <v>10</v>
      </c>
      <c r="AV27" s="62">
        <f>SUM(SMALL(AU27:AU38,{1,2,3,4,5,6}))/6</f>
        <v>11.833333333333334</v>
      </c>
      <c r="AZ27" s="36"/>
      <c r="BA27" s="36">
        <v>10</v>
      </c>
      <c r="BB27" s="62">
        <f>SUM(SMALL(BA27:BA38,{1,2,3,4,5,6}))/6</f>
        <v>8.8333333333333339</v>
      </c>
      <c r="BC27" s="36">
        <v>-4000</v>
      </c>
      <c r="BD27" s="36">
        <v>15</v>
      </c>
      <c r="BE27" s="62">
        <f>SUM(SMALL(BD27:BD38,{1,2,3,4,5,6}))/6</f>
        <v>10.833333333333334</v>
      </c>
      <c r="BF27" s="36"/>
      <c r="BG27" s="36"/>
      <c r="BH27" s="62"/>
    </row>
    <row r="28" spans="1:60" ht="12" customHeight="1" x14ac:dyDescent="0.25">
      <c r="A28" s="36">
        <v>1000</v>
      </c>
      <c r="B28" s="36">
        <v>10</v>
      </c>
      <c r="C28" s="62">
        <f>SUM(SMALL(B28:B39,{1,2,3,4,5,6}))/6</f>
        <v>5.5</v>
      </c>
      <c r="D28" s="36"/>
      <c r="E28" s="36">
        <v>15</v>
      </c>
      <c r="F28" s="62">
        <f>SUM(SMALL(E28:E39,{1,2,3,4,5,6}))/6</f>
        <v>8.8333333333333339</v>
      </c>
      <c r="G28" s="36"/>
      <c r="H28" s="36">
        <v>8</v>
      </c>
      <c r="I28" s="62">
        <f>SUM(SMALL(H28:H39,{1,2,3,4,5,6}))/6</f>
        <v>2.3333333333333335</v>
      </c>
      <c r="J28" s="36">
        <v>-1000</v>
      </c>
      <c r="K28" s="36">
        <v>13</v>
      </c>
      <c r="L28" s="62">
        <f>SUM(SMALL(K28:K39,{1,2,3,4,5,6}))/6</f>
        <v>9</v>
      </c>
      <c r="M28" s="36">
        <v>2000</v>
      </c>
      <c r="N28" s="36">
        <v>16</v>
      </c>
      <c r="O28" s="62">
        <f>SUM(SMALL(N28:N39,{1,2,3,4,5,6}))/6</f>
        <v>11.378571428571428</v>
      </c>
      <c r="P28" s="36">
        <v>600</v>
      </c>
      <c r="Q28" s="36">
        <v>6</v>
      </c>
      <c r="R28" s="62">
        <f>SUM(SMALL(Q28:Q39,{1,2,3,4,5,6}))/6</f>
        <v>9</v>
      </c>
      <c r="S28" s="36">
        <v>2000</v>
      </c>
      <c r="T28" s="36">
        <v>14</v>
      </c>
      <c r="U28" s="62">
        <v>14.5</v>
      </c>
      <c r="V28" s="36">
        <v>-2000</v>
      </c>
      <c r="W28" s="36">
        <v>12</v>
      </c>
      <c r="X28" s="62">
        <f>SUM(SMALL(W28:W39,{1,2,3,4,5,6}))/6</f>
        <v>9.3333333333333339</v>
      </c>
      <c r="Y28" s="64">
        <v>1200</v>
      </c>
      <c r="Z28" s="36">
        <v>16</v>
      </c>
      <c r="AA28" s="62">
        <f>SUM(SMALL(Z28:Z39,{1,2,3,4,5,6}))/6</f>
        <v>15.466666666666667</v>
      </c>
      <c r="AB28" s="36">
        <v>-2000</v>
      </c>
      <c r="AC28" s="36">
        <v>13</v>
      </c>
      <c r="AD28" s="62">
        <v>10.5</v>
      </c>
      <c r="AE28" s="64"/>
      <c r="AF28" s="36">
        <v>6</v>
      </c>
      <c r="AG28" s="62">
        <f>SUM(SMALL(AF28:AF39,{1,2,3,4,5,6}))/6</f>
        <v>6.166666666666667</v>
      </c>
      <c r="AH28" s="36">
        <v>0</v>
      </c>
      <c r="AI28" s="36">
        <v>13</v>
      </c>
      <c r="AJ28" s="62">
        <f>SUM(SMALL(AI28:AI39,{1,2,3,4,5,6}))/6</f>
        <v>11.833333333333334</v>
      </c>
      <c r="AK28" s="64"/>
      <c r="AL28" s="36">
        <v>14</v>
      </c>
      <c r="AM28" s="62">
        <f>SUM(SMALL(AL28:AL39,{1,2,3,4,5,6}))/6</f>
        <v>14</v>
      </c>
      <c r="AN28" s="61"/>
      <c r="AO28" s="36">
        <f>12*1.2</f>
        <v>14.399999999999999</v>
      </c>
      <c r="AP28" s="62">
        <v>13.783333333333331</v>
      </c>
      <c r="AQ28" s="36"/>
      <c r="AR28" s="36">
        <v>13</v>
      </c>
      <c r="AS28" s="62">
        <f>SUM(SMALL(AR28:AR39,{1,2,3,4,5,6}))/6</f>
        <v>14.666666666666666</v>
      </c>
      <c r="AT28" s="64"/>
      <c r="AU28" s="36">
        <v>15</v>
      </c>
      <c r="AV28" s="62">
        <f>SUM(SMALL(AU28:AU39,{1,2,3,4,5,6}))/6</f>
        <v>12.5</v>
      </c>
      <c r="AZ28" s="36">
        <v>-1500</v>
      </c>
      <c r="BA28" s="36">
        <v>11</v>
      </c>
      <c r="BB28" s="62">
        <f>SUM(SMALL(BA28:BA39,{1,2,3,4,5,6}))/6</f>
        <v>7.833333333333333</v>
      </c>
      <c r="BC28" s="36"/>
      <c r="BD28" s="36">
        <v>9</v>
      </c>
      <c r="BE28" s="62">
        <f>SUM(SMALL(BD28:BD39,{1,2,3,4,5,6}))/6</f>
        <v>10.833333333333334</v>
      </c>
      <c r="BF28" s="36"/>
      <c r="BG28" s="36"/>
      <c r="BH28" s="62"/>
    </row>
    <row r="29" spans="1:60" ht="12" customHeight="1" x14ac:dyDescent="0.3">
      <c r="A29" s="36"/>
      <c r="B29" s="36">
        <v>13</v>
      </c>
      <c r="C29" s="62">
        <f>SUM(SMALL(B29:B40,{1,2,3,4,5,6}))/6</f>
        <v>5.166666666666667</v>
      </c>
      <c r="D29" s="36"/>
      <c r="E29" s="36">
        <v>5</v>
      </c>
      <c r="F29" s="62">
        <f>SUM(SMALL(E29:E40,{1,2,3,4,5,6}))/6</f>
        <v>8.8333333333333339</v>
      </c>
      <c r="G29" s="36"/>
      <c r="H29" s="36">
        <v>1</v>
      </c>
      <c r="I29" s="62">
        <f>SUM(SMALL(H29:H40,{1,2,3,4,5,6}))/6</f>
        <v>2.1666666666666665</v>
      </c>
      <c r="J29" s="36"/>
      <c r="K29" s="36">
        <v>15</v>
      </c>
      <c r="L29" s="62">
        <f>SUM(SMALL(K29:K40,{1,2,3,4,5,6}))/6</f>
        <v>7.666666666666667</v>
      </c>
      <c r="M29" s="36"/>
      <c r="N29" s="36">
        <f>17*1.2</f>
        <v>20.399999999999999</v>
      </c>
      <c r="O29" s="62">
        <f>SUM(SMALL(N29:N40,{1,2,3,4,5,6}))/6</f>
        <v>10.978571428571428</v>
      </c>
      <c r="P29" s="36">
        <v>-2000</v>
      </c>
      <c r="Q29" s="36">
        <v>12</v>
      </c>
      <c r="R29" s="62">
        <f>SUM(SMALL(Q29:Q40,{1,2,3,4,5,6}))/6</f>
        <v>9.1666666666666661</v>
      </c>
      <c r="S29" s="36"/>
      <c r="T29" s="38">
        <f>17*1.1</f>
        <v>18.700000000000003</v>
      </c>
      <c r="U29" s="62">
        <v>14.5</v>
      </c>
      <c r="V29" s="36">
        <v>0</v>
      </c>
      <c r="W29" s="36">
        <v>15</v>
      </c>
      <c r="X29" s="62">
        <f>SUM(SMALL(W29:W40,{1,2,3,4,5,6}))/6</f>
        <v>9.5</v>
      </c>
      <c r="Y29" s="64">
        <v>1000</v>
      </c>
      <c r="Z29" s="36">
        <v>22</v>
      </c>
      <c r="AA29" s="62">
        <f>SUM(SMALL(Z29:Z40,{1,2,3,4,5,6}))/6</f>
        <v>15.966666666666667</v>
      </c>
      <c r="AB29" s="36"/>
      <c r="AC29" s="38">
        <v>19</v>
      </c>
      <c r="AD29" s="62">
        <v>10.5</v>
      </c>
      <c r="AE29" s="64">
        <v>-3000</v>
      </c>
      <c r="AF29" s="36">
        <v>14</v>
      </c>
      <c r="AG29" s="62">
        <f>SUM(SMALL(AF29:AF40,{1,2,3,4,5,6}))/6</f>
        <v>6.166666666666667</v>
      </c>
      <c r="AH29" s="36"/>
      <c r="AI29" s="36">
        <v>13</v>
      </c>
      <c r="AJ29" s="62">
        <f>SUM(SMALL(AI29:AI40,{1,2,3,4,5,6}))/6</f>
        <v>12.166666666666666</v>
      </c>
      <c r="AK29" s="64">
        <v>-4000</v>
      </c>
      <c r="AL29" s="36">
        <v>23</v>
      </c>
      <c r="AM29" s="62">
        <f>SUM(SMALL(AL29:AL40,{1,2,3,4,5,6}))/6</f>
        <v>14</v>
      </c>
      <c r="AN29" s="36"/>
      <c r="AO29" s="36">
        <v>15</v>
      </c>
      <c r="AP29" s="62">
        <v>13.383333333333333</v>
      </c>
      <c r="AQ29" s="36"/>
      <c r="AR29" s="36">
        <v>16</v>
      </c>
      <c r="AS29" s="62">
        <f>SUM(SMALL(AR29:AR40,{1,2,3,4,5,6}))/6</f>
        <v>15.5</v>
      </c>
      <c r="AT29" s="64">
        <v>-3000</v>
      </c>
      <c r="AU29" s="36">
        <v>12</v>
      </c>
      <c r="AV29" s="62">
        <f>SUM(SMALL(AU29:AU40,{1,2,3,4,5,6}))/6</f>
        <v>12.5</v>
      </c>
      <c r="AZ29" s="36"/>
      <c r="BA29" s="36">
        <v>10</v>
      </c>
      <c r="BB29" s="62">
        <f>SUM(SMALL(BA29:BA40,{1,2,3,4,5,6}))/6</f>
        <v>7.5</v>
      </c>
      <c r="BC29" s="36"/>
      <c r="BD29" s="36">
        <v>11</v>
      </c>
      <c r="BE29" s="62">
        <f>SUM(SMALL(BD29:BD40,{1,2,3,4,5,6}))/6</f>
        <v>10.833333333333334</v>
      </c>
      <c r="BF29" s="36"/>
      <c r="BG29" s="36"/>
      <c r="BH29" s="62"/>
    </row>
    <row r="30" spans="1:60" ht="12" customHeight="1" x14ac:dyDescent="0.25">
      <c r="A30" s="36"/>
      <c r="B30" s="36">
        <v>6</v>
      </c>
      <c r="C30" s="62">
        <f>SUM(SMALL(B30:B41,{1,2,3,4,5,6}))/6</f>
        <v>5.166666666666667</v>
      </c>
      <c r="D30" s="36"/>
      <c r="E30" s="36">
        <v>11</v>
      </c>
      <c r="F30" s="62">
        <f>SUM(SMALL(E30:E41,{1,2,3,4,5,6}))/6</f>
        <v>9.3333333333333339</v>
      </c>
      <c r="G30" s="36">
        <v>-1500</v>
      </c>
      <c r="H30" s="65">
        <v>0</v>
      </c>
      <c r="I30" s="62">
        <f>SUM(SMALL(H30:H41,{1,2,3,4,5,6}))/6</f>
        <v>2.6666666666666665</v>
      </c>
      <c r="J30" s="36"/>
      <c r="K30" s="36">
        <v>20</v>
      </c>
      <c r="L30" s="62">
        <f>SUM(SMALL(K30:K41,{1,2,3,4,5,6}))/6</f>
        <v>7.166666666666667</v>
      </c>
      <c r="M30" s="36">
        <v>2000</v>
      </c>
      <c r="N30" s="36">
        <f>13*1.1</f>
        <v>14.3</v>
      </c>
      <c r="O30" s="62">
        <f>SUM(SMALL(N30:N41,{1,2,3,4,5,6}))/6</f>
        <v>10.978571428571428</v>
      </c>
      <c r="P30" s="36">
        <v>-1000</v>
      </c>
      <c r="Q30" s="36">
        <v>15</v>
      </c>
      <c r="R30" s="62">
        <f>SUM(SMALL(Q30:Q41,{1,2,3,4,5,6}))/6</f>
        <v>8.6666666666666661</v>
      </c>
      <c r="S30" s="36"/>
      <c r="T30" s="36"/>
      <c r="U30" s="62"/>
      <c r="V30" s="36">
        <v>600</v>
      </c>
      <c r="W30" s="36">
        <v>13</v>
      </c>
      <c r="X30" s="62">
        <f>SUM(SMALL(W30:W41,{1,2,3,4,5,6}))/6</f>
        <v>8.1666666666666661</v>
      </c>
      <c r="Y30" s="64"/>
      <c r="Z30" s="36">
        <v>20</v>
      </c>
      <c r="AA30" s="62">
        <f>SUM(SMALL(Z30:Z41,{1,2,3,4,5,6}))/6</f>
        <v>15.966666666666667</v>
      </c>
      <c r="AB30" s="36"/>
      <c r="AC30" s="36"/>
      <c r="AD30" s="62"/>
      <c r="AE30" s="64">
        <v>3000</v>
      </c>
      <c r="AF30" s="36">
        <v>6</v>
      </c>
      <c r="AG30" s="62">
        <f>SUM(SMALL(AF30:AF41,{1,2,3,4,5,6}))/6</f>
        <v>6</v>
      </c>
      <c r="AH30" s="36">
        <v>1500</v>
      </c>
      <c r="AI30" s="36">
        <v>10</v>
      </c>
      <c r="AJ30" s="62">
        <f>SUM(SMALL(AI30:AI41,{1,2,3,4,5,6}))/6</f>
        <v>11.833333333333334</v>
      </c>
      <c r="AK30" s="64">
        <v>1500</v>
      </c>
      <c r="AL30" s="36">
        <v>14</v>
      </c>
      <c r="AM30" s="62">
        <f>SUM(SMALL(AL30:AL41,{1,2,3,4,5,6}))/6</f>
        <v>14</v>
      </c>
      <c r="AN30" s="36"/>
      <c r="AO30" s="36">
        <v>14</v>
      </c>
      <c r="AP30" s="62">
        <v>13.383333333333333</v>
      </c>
      <c r="AQ30" s="36">
        <v>2400</v>
      </c>
      <c r="AR30" s="36">
        <v>19</v>
      </c>
      <c r="AS30" s="62">
        <f>SUM(SMALL(AR30:AR41,{1,2,3,4,5,6}))/6</f>
        <v>16</v>
      </c>
      <c r="AT30" s="64">
        <v>3000</v>
      </c>
      <c r="AU30" s="36">
        <v>21</v>
      </c>
      <c r="AV30" s="62">
        <f>SUM(SMALL(AU30:AU41,{1,2,3,4,5,6}))/6</f>
        <v>13</v>
      </c>
      <c r="AZ30" s="36">
        <v>-600</v>
      </c>
      <c r="BA30" s="36">
        <v>21</v>
      </c>
      <c r="BB30" s="62">
        <f>SUM(SMALL(BA30:BA41,{1,2,3,4,5,6}))/6</f>
        <v>7.5</v>
      </c>
      <c r="BC30" s="36"/>
      <c r="BD30" s="36">
        <v>16</v>
      </c>
      <c r="BE30" s="62">
        <f>SUM(SMALL(BD30:BD41,{1,2,3,4,5,6}))/6</f>
        <v>10.666666666666666</v>
      </c>
    </row>
    <row r="31" spans="1:60" ht="12" customHeight="1" x14ac:dyDescent="0.3">
      <c r="A31" s="36">
        <v>600</v>
      </c>
      <c r="B31" s="36">
        <v>4</v>
      </c>
      <c r="C31" s="62">
        <f>SUM(SMALL(B31:B42,{1,2,3,4,5,6}))/6</f>
        <v>5.5</v>
      </c>
      <c r="D31" s="36"/>
      <c r="E31" s="36">
        <v>7</v>
      </c>
      <c r="F31" s="62">
        <f>SUM(SMALL(E31:E42,{1,2,3,4,5,6}))/6</f>
        <v>9</v>
      </c>
      <c r="G31" s="36">
        <v>300</v>
      </c>
      <c r="H31" s="36">
        <v>4</v>
      </c>
      <c r="I31" s="62">
        <f>SUM(SMALL(H31:H42,{1,2,3,4,5,6}))/6</f>
        <v>2.6666666666666665</v>
      </c>
      <c r="J31" s="36"/>
      <c r="K31" s="36">
        <v>13</v>
      </c>
      <c r="L31" s="62">
        <f>SUM(SMALL(K31:K42,{1,2,3,4,5,6}))/6</f>
        <v>6.833333333333333</v>
      </c>
      <c r="M31" s="36">
        <v>-4000</v>
      </c>
      <c r="N31" s="36">
        <v>16</v>
      </c>
      <c r="O31" s="62">
        <f>SUM(SMALL(N31:N42,{1,2,3,4,5,6}))/6</f>
        <v>10.995238095238095</v>
      </c>
      <c r="P31" s="36"/>
      <c r="Q31" s="36">
        <v>11</v>
      </c>
      <c r="R31" s="62">
        <v>8.6666666666666661</v>
      </c>
      <c r="S31" s="36"/>
      <c r="T31" s="36"/>
      <c r="U31" s="62"/>
      <c r="V31" s="36">
        <v>4000</v>
      </c>
      <c r="W31" s="36">
        <v>9</v>
      </c>
      <c r="X31" s="62">
        <f>SUM(SMALL(W31:W42,{1,2,3,4,5,6}))/6</f>
        <v>7.833333333333333</v>
      </c>
      <c r="Y31" s="64">
        <v>-1500</v>
      </c>
      <c r="Z31" s="36">
        <v>22</v>
      </c>
      <c r="AA31" s="62">
        <f>SUM(SMALL(Z31:Z42,{1,2,3,4,5,6}))/6</f>
        <v>15.549999999999999</v>
      </c>
      <c r="AB31" s="36"/>
      <c r="AC31" s="36"/>
      <c r="AD31" s="62"/>
      <c r="AE31" s="64"/>
      <c r="AF31" s="36">
        <v>8</v>
      </c>
      <c r="AG31" s="62">
        <f>SUM(SMALL(AF31:AF42,{1,2,3,4,5,6}))/6</f>
        <v>6.333333333333333</v>
      </c>
      <c r="AH31" s="36">
        <v>1500</v>
      </c>
      <c r="AI31" s="36">
        <v>11</v>
      </c>
      <c r="AJ31" s="62">
        <v>12</v>
      </c>
      <c r="AK31" s="64"/>
      <c r="AL31" s="36">
        <v>19</v>
      </c>
      <c r="AM31" s="62">
        <f>SUM(SMALL(AL31:AL42,{1,2,3,4,5,6}))/6</f>
        <v>14</v>
      </c>
      <c r="AN31" s="36"/>
      <c r="AO31" s="38">
        <v>15</v>
      </c>
      <c r="AP31" s="62">
        <v>13.883333333333333</v>
      </c>
      <c r="AQ31" s="36"/>
      <c r="AR31" s="36">
        <v>24</v>
      </c>
      <c r="AS31" s="62">
        <f>SUM(SMALL(AR31:AR42,{1,2,3,4,5,6}))/6</f>
        <v>16</v>
      </c>
      <c r="AT31" s="64">
        <v>4000</v>
      </c>
      <c r="AU31" s="36">
        <v>12</v>
      </c>
      <c r="AV31" s="62">
        <f>SUM(SMALL(AU31:AU42,{1,2,3,4,5,6}))/6</f>
        <v>12.666666666666666</v>
      </c>
      <c r="AZ31" s="36">
        <v>1400</v>
      </c>
      <c r="BA31" s="36">
        <v>8</v>
      </c>
      <c r="BB31" s="62">
        <f>SUM(SMALL(BA31:BA42,{1,2,3,4,5,6}))/6</f>
        <v>7</v>
      </c>
      <c r="BC31" s="36"/>
      <c r="BD31" s="36">
        <v>13</v>
      </c>
      <c r="BE31" s="62">
        <f>SUM(SMALL(BD31:BD42,{1,2,3,4,5,6}))/6</f>
        <v>10.666666666666666</v>
      </c>
    </row>
    <row r="32" spans="1:60" ht="12" customHeight="1" x14ac:dyDescent="0.25">
      <c r="A32" s="36">
        <v>-400</v>
      </c>
      <c r="B32" s="36">
        <v>11</v>
      </c>
      <c r="C32" s="62">
        <f>SUM(SMALL(B32:B43,{1,2,3,4,5,6}))/6</f>
        <v>6.166666666666667</v>
      </c>
      <c r="D32" s="36"/>
      <c r="E32" s="36">
        <v>12</v>
      </c>
      <c r="F32" s="62">
        <f>SUM(SMALL(E32:E43,{1,2,3,4,5,6}))/6</f>
        <v>9.3333333333333339</v>
      </c>
      <c r="G32" s="36">
        <v>2000</v>
      </c>
      <c r="H32" s="36">
        <v>4</v>
      </c>
      <c r="I32" s="62">
        <f>SUM(SMALL(H32:H43,{1,2,3,4,5,6}))/6</f>
        <v>2.6666666666666665</v>
      </c>
      <c r="J32" s="36">
        <v>0</v>
      </c>
      <c r="K32" s="36">
        <v>13</v>
      </c>
      <c r="L32" s="62">
        <f>SUM(SMALL(K32:K43,{1,2,3,4,5,6}))/6</f>
        <v>6.833333333333333</v>
      </c>
      <c r="M32" s="36">
        <v>-600</v>
      </c>
      <c r="N32" s="36">
        <f>18*0.8</f>
        <v>14.4</v>
      </c>
      <c r="O32" s="62">
        <f>SUM(SMALL(N32:N43,{1,2,3,4,5,6}))/6</f>
        <v>10.261904761904761</v>
      </c>
      <c r="P32" s="36"/>
      <c r="Q32" s="36">
        <v>12</v>
      </c>
      <c r="R32" s="62">
        <v>8.3333333333333339</v>
      </c>
      <c r="S32" s="36"/>
      <c r="T32" s="36"/>
      <c r="U32" s="62"/>
      <c r="V32" s="36">
        <v>-4000</v>
      </c>
      <c r="W32" s="36">
        <v>11</v>
      </c>
      <c r="X32" s="62">
        <f>SUM(SMALL(W32:W43,{1,2,3,4,5,6}))/6</f>
        <v>8</v>
      </c>
      <c r="Y32" s="64"/>
      <c r="Z32" s="36">
        <f>19*1.1</f>
        <v>20.900000000000002</v>
      </c>
      <c r="AA32" s="62">
        <f>SUM(SMALL(Z32:Z43,{1,2,3,4,5,6}))/6</f>
        <v>15.549999999999999</v>
      </c>
      <c r="AB32" s="36"/>
      <c r="AC32" s="36"/>
      <c r="AD32" s="62"/>
      <c r="AE32" s="64">
        <v>4000</v>
      </c>
      <c r="AF32" s="36">
        <v>10</v>
      </c>
      <c r="AG32" s="62">
        <f>SUM(SMALL(AF32:AF43,{1,2,3,4,5,6}))/6</f>
        <v>6.5</v>
      </c>
      <c r="AH32" s="36">
        <v>1600</v>
      </c>
      <c r="AI32" s="36">
        <v>17</v>
      </c>
      <c r="AJ32" s="62">
        <v>12.333333333333334</v>
      </c>
      <c r="AK32" s="64">
        <v>300</v>
      </c>
      <c r="AL32" s="36">
        <v>17</v>
      </c>
      <c r="AM32" s="62">
        <f>SUM(SMALL(AL32:AL43,{1,2,3,4,5,6}))/6</f>
        <v>14</v>
      </c>
      <c r="AN32" s="36"/>
      <c r="AO32" s="36"/>
      <c r="AP32" s="62"/>
      <c r="AQ32" s="36"/>
      <c r="AR32" s="36">
        <v>22</v>
      </c>
      <c r="AS32" s="62">
        <f>SUM(SMALL(AR32:AR43,{1,2,3,4,5,6}))/6</f>
        <v>14.666666666666666</v>
      </c>
      <c r="AT32" s="64"/>
      <c r="AU32" s="36">
        <v>15</v>
      </c>
      <c r="AV32" s="62">
        <f>SUM(SMALL(AU32:AU43,{1,2,3,4,5,6}))/6</f>
        <v>13.166666666666666</v>
      </c>
      <c r="AZ32" s="36">
        <v>-2700</v>
      </c>
      <c r="BA32" s="36">
        <v>18</v>
      </c>
      <c r="BB32" s="62">
        <f>SUM(SMALL(BA32:BA43,{1,2,3,4,5,6}))/6</f>
        <v>7.166666666666667</v>
      </c>
      <c r="BC32" s="36"/>
      <c r="BD32" s="36">
        <v>12</v>
      </c>
      <c r="BE32" s="62">
        <f>SUM(SMALL(BD32:BD43,{1,2,3,4,5,6}))/6</f>
        <v>10.666666666666666</v>
      </c>
    </row>
    <row r="33" spans="1:57" ht="12" customHeight="1" x14ac:dyDescent="0.25">
      <c r="A33" s="36">
        <v>-1500</v>
      </c>
      <c r="B33" s="36">
        <v>8</v>
      </c>
      <c r="C33" s="62">
        <f>SUM(SMALL(B33:B44,{1,2,3,4,5,6}))/6</f>
        <v>6</v>
      </c>
      <c r="D33" s="36">
        <v>400</v>
      </c>
      <c r="E33" s="36">
        <v>11</v>
      </c>
      <c r="F33" s="62">
        <f>SUM(SMALL(E33:E44,{1,2,3,4,5,6}))/6</f>
        <v>9.3333333333333339</v>
      </c>
      <c r="G33" s="36">
        <v>-1000</v>
      </c>
      <c r="H33" s="36">
        <v>5</v>
      </c>
      <c r="I33" s="62">
        <f>SUM(SMALL(H33:H44,{1,2,3,4,5,6}))/6</f>
        <v>2</v>
      </c>
      <c r="J33" s="36"/>
      <c r="K33" s="36">
        <v>6</v>
      </c>
      <c r="L33" s="62">
        <f>SUM(SMALL(K33:K44,{1,2,3,4,5,6}))/6</f>
        <v>6.833333333333333</v>
      </c>
      <c r="M33" s="36">
        <v>2000</v>
      </c>
      <c r="N33" s="36">
        <v>10</v>
      </c>
      <c r="O33" s="62">
        <f>SUM(SMALL(N33:N44,{1,2,3,4,5,6}))/6</f>
        <v>10.261904761904761</v>
      </c>
      <c r="P33" s="36">
        <v>2400</v>
      </c>
      <c r="Q33" s="36">
        <v>18</v>
      </c>
      <c r="R33" s="62">
        <v>8.3333333333333339</v>
      </c>
      <c r="S33" s="36"/>
      <c r="T33" s="36"/>
      <c r="U33" s="62"/>
      <c r="V33" s="36"/>
      <c r="W33" s="36">
        <v>8</v>
      </c>
      <c r="X33" s="62">
        <f>SUM(SMALL(W33:W44,{1,2,3,4,5,6}))/6</f>
        <v>8</v>
      </c>
      <c r="Y33" s="64"/>
      <c r="Z33" s="36">
        <f>21*0.8</f>
        <v>16.8</v>
      </c>
      <c r="AA33" s="62">
        <f>SUM(SMALL(Z33:Z44,{1,2,3,4,5,6}))/6</f>
        <v>15.549999999999999</v>
      </c>
      <c r="AB33" s="36"/>
      <c r="AC33" s="36"/>
      <c r="AD33" s="62"/>
      <c r="AE33" s="64"/>
      <c r="AF33" s="36">
        <v>11</v>
      </c>
      <c r="AG33" s="62">
        <f>SUM(SMALL(AF33:AF44,{1,2,3,4,5,6}))/6</f>
        <v>6.5</v>
      </c>
      <c r="AH33" s="36">
        <v>-4000</v>
      </c>
      <c r="AI33" s="36">
        <v>16</v>
      </c>
      <c r="AJ33" s="62">
        <v>12.333333333333334</v>
      </c>
      <c r="AK33" s="64">
        <v>-4000</v>
      </c>
      <c r="AL33" s="36">
        <v>16</v>
      </c>
      <c r="AM33" s="62">
        <f>SUM(SMALL(AL33:AL44,{1,2,3,4,5,6}))/6</f>
        <v>13.166666666666666</v>
      </c>
      <c r="AN33" s="36"/>
      <c r="AO33" s="36"/>
      <c r="AP33" s="62"/>
      <c r="AQ33" s="36"/>
      <c r="AR33" s="36">
        <v>18</v>
      </c>
      <c r="AS33" s="62">
        <f>SUM(SMALL(AR33:AR44,{1,2,3,4,5,6}))/6</f>
        <v>14.666666666666666</v>
      </c>
      <c r="AT33" s="64"/>
      <c r="AU33" s="36">
        <v>17</v>
      </c>
      <c r="AV33" s="62">
        <f>SUM(SMALL(AU33:AU44,{1,2,3,4,5,6}))/6</f>
        <v>12.333333333333334</v>
      </c>
      <c r="AZ33" s="36"/>
      <c r="BA33" s="36">
        <v>12</v>
      </c>
      <c r="BB33" s="62">
        <f>SUM(SMALL(BA33:BA44,{1,2,3,4,5,6}))/6</f>
        <v>7.166666666666667</v>
      </c>
      <c r="BC33" s="36"/>
      <c r="BD33" s="36">
        <v>11</v>
      </c>
      <c r="BE33" s="62">
        <f>SUM(SMALL(BD33:BD44,{1,2,3,4,5,6}))/6</f>
        <v>10.666666666666666</v>
      </c>
    </row>
    <row r="34" spans="1:57" ht="12" customHeight="1" x14ac:dyDescent="0.25">
      <c r="A34" s="36"/>
      <c r="B34" s="36">
        <v>3</v>
      </c>
      <c r="C34" s="62">
        <f>SUM(SMALL(B34:B45,{1,2,3,4,5,6}))/6</f>
        <v>6</v>
      </c>
      <c r="D34" s="36">
        <v>4000</v>
      </c>
      <c r="E34" s="36">
        <v>18</v>
      </c>
      <c r="F34" s="62">
        <f>SUM(SMALL(E34:E45,{1,2,3,4,5,6}))/6</f>
        <v>8.8333333333333339</v>
      </c>
      <c r="G34" s="36">
        <v>-2000</v>
      </c>
      <c r="H34" s="36">
        <v>7</v>
      </c>
      <c r="I34" s="62">
        <f>SUM(SMALL(H34:H45,{1,2,3,4,5,6}))/6</f>
        <v>1.6666666666666667</v>
      </c>
      <c r="J34" s="36"/>
      <c r="K34" s="36">
        <v>10</v>
      </c>
      <c r="L34" s="62">
        <f>SUM(SMALL(K34:K45,{1,2,3,4,5,6}))/6</f>
        <v>7.333333333333333</v>
      </c>
      <c r="M34" s="36">
        <v>1000</v>
      </c>
      <c r="N34" s="36">
        <f>9/14*18</f>
        <v>11.571428571428573</v>
      </c>
      <c r="O34" s="62">
        <f>SUM(SMALL(N34:N45,{1,2,3,4,5,6}))/6</f>
        <v>9.7202380952380949</v>
      </c>
      <c r="P34" s="36">
        <v>-2100</v>
      </c>
      <c r="Q34" s="36">
        <v>10</v>
      </c>
      <c r="R34" s="62">
        <v>8.1666666666666661</v>
      </c>
      <c r="S34" s="36"/>
      <c r="T34" s="36"/>
      <c r="U34" s="62"/>
      <c r="V34" s="36">
        <v>-3000</v>
      </c>
      <c r="W34" s="36">
        <v>13</v>
      </c>
      <c r="X34" s="62">
        <f>SUM(SMALL(W34:W45,{1,2,3,4,5,6}))/6</f>
        <v>8</v>
      </c>
      <c r="Y34" s="64">
        <v>-3300</v>
      </c>
      <c r="Z34" s="36">
        <v>19</v>
      </c>
      <c r="AA34" s="62">
        <f>SUM(SMALL(Z34:Z45,{1,2,3,4,5,6}))/6</f>
        <v>15.25</v>
      </c>
      <c r="AB34" s="36"/>
      <c r="AC34" s="36"/>
      <c r="AD34" s="62"/>
      <c r="AE34" s="64"/>
      <c r="AF34" s="36">
        <v>6</v>
      </c>
      <c r="AG34" s="62">
        <f>SUM(SMALL(AF34:AF45,{1,2,3,4,5,6}))/6</f>
        <v>6.5</v>
      </c>
      <c r="AH34" s="36"/>
      <c r="AI34" s="36">
        <v>11</v>
      </c>
      <c r="AJ34" s="62">
        <v>12.333333333333334</v>
      </c>
      <c r="AK34" s="64">
        <v>720</v>
      </c>
      <c r="AL34" s="36">
        <v>14</v>
      </c>
      <c r="AM34" s="62">
        <f>SUM(SMALL(AL34:AL45,{1,2,3,4,5,6}))/6</f>
        <v>13.166666666666666</v>
      </c>
      <c r="AN34" s="36"/>
      <c r="AO34" s="36"/>
      <c r="AP34" s="62"/>
      <c r="AQ34" s="36"/>
      <c r="AR34" s="36">
        <v>22</v>
      </c>
      <c r="AS34" s="62">
        <f>SUM(SMALL(AR34:AR45,{1,2,3,4,5,6}))/6</f>
        <v>14.333333333333334</v>
      </c>
      <c r="AT34" s="64"/>
      <c r="AU34" s="36">
        <v>13</v>
      </c>
      <c r="AV34" s="62">
        <f>SUM(SMALL(AU34:AU45,{1,2,3,4,5,6}))/6</f>
        <v>12.333333333333334</v>
      </c>
      <c r="AZ34" s="36">
        <v>0</v>
      </c>
      <c r="BA34" s="36">
        <v>11</v>
      </c>
      <c r="BB34" s="62">
        <v>6.5</v>
      </c>
      <c r="BC34" s="36">
        <v>-1500</v>
      </c>
      <c r="BD34" s="36">
        <v>12</v>
      </c>
      <c r="BE34" s="62">
        <f>SUM(SMALL(BD34:BD45,{1,2,3,4,5,6}))/6</f>
        <v>10.833333333333334</v>
      </c>
    </row>
    <row r="35" spans="1:57" ht="12" customHeight="1" x14ac:dyDescent="0.25">
      <c r="A35" s="36"/>
      <c r="B35" s="36">
        <v>14</v>
      </c>
      <c r="C35" s="62">
        <f>SUM(SMALL(B35:B46,{1,2,3,4,5,6}))/6</f>
        <v>6.166666666666667</v>
      </c>
      <c r="D35" s="36"/>
      <c r="E35" s="36">
        <v>17</v>
      </c>
      <c r="F35" s="62">
        <f>SUM(SMALL(E35:E46,{1,2,3,4,5,6}))/6</f>
        <v>8.8333333333333339</v>
      </c>
      <c r="G35" s="36"/>
      <c r="H35" s="36">
        <v>4</v>
      </c>
      <c r="I35" s="62">
        <f>SUM(SMALL(H35:H46,{1,2,3,4,5,6}))/6</f>
        <v>1.6666666666666667</v>
      </c>
      <c r="J35" s="36"/>
      <c r="K35" s="36">
        <v>7</v>
      </c>
      <c r="L35" s="62">
        <f>SUM(SMALL(K35:K46,{1,2,3,4,5,6}))/6</f>
        <v>7.333333333333333</v>
      </c>
      <c r="M35" s="36"/>
      <c r="N35" s="36">
        <v>10</v>
      </c>
      <c r="O35" s="62">
        <f>SUM(SMALL(N35:N46,{1,2,3,4,5,6}))/6</f>
        <v>9.6583333333333332</v>
      </c>
      <c r="P35" s="61"/>
      <c r="Q35" s="36">
        <v>10</v>
      </c>
      <c r="R35" s="62">
        <v>8.1666666666666661</v>
      </c>
      <c r="S35" s="36"/>
      <c r="T35" s="36"/>
      <c r="U35" s="62"/>
      <c r="V35" s="36">
        <v>1000</v>
      </c>
      <c r="W35" s="36">
        <v>15</v>
      </c>
      <c r="X35" s="62">
        <f>SUM(SMALL(W35:W46,{1,2,3,4,5,6}))/6</f>
        <v>7.333333333333333</v>
      </c>
      <c r="Y35" s="64"/>
      <c r="Z35" s="36">
        <v>13</v>
      </c>
      <c r="AA35" s="62">
        <f>SUM(SMALL(Z35:Z46,{1,2,3,4,5,6}))/6</f>
        <v>14.583333333333334</v>
      </c>
      <c r="AB35" s="36"/>
      <c r="AC35" s="36"/>
      <c r="AD35" s="62"/>
      <c r="AE35" s="64"/>
      <c r="AF35" s="36">
        <v>11</v>
      </c>
      <c r="AG35" s="62">
        <f>SUM(SMALL(AF35:AF46,{1,2,3,4,5,6}))/6</f>
        <v>6.5</v>
      </c>
      <c r="AH35" s="36">
        <v>-3000</v>
      </c>
      <c r="AI35" s="36">
        <v>19</v>
      </c>
      <c r="AJ35" s="62">
        <v>11.833333333333334</v>
      </c>
      <c r="AK35" s="64">
        <v>-300</v>
      </c>
      <c r="AL35" s="36">
        <v>18</v>
      </c>
      <c r="AM35" s="62">
        <f>SUM(SMALL(AL35:AL46,{1,2,3,4,5,6}))/6</f>
        <v>13.5</v>
      </c>
      <c r="AN35" s="36"/>
      <c r="AO35" s="36"/>
      <c r="AP35" s="62"/>
      <c r="AQ35" s="36"/>
      <c r="AR35" s="36">
        <v>15</v>
      </c>
      <c r="AS35" s="62">
        <f>SUM(SMALL(AR35:AR46,{1,2,3,4,5,6}))/6</f>
        <v>14.333333333333334</v>
      </c>
      <c r="AT35" s="64"/>
      <c r="AU35" s="36">
        <v>17</v>
      </c>
      <c r="AV35" s="62">
        <f>SUM(SMALL(AU35:AU46,{1,2,3,4,5,6}))/6</f>
        <v>12.333333333333334</v>
      </c>
      <c r="AZ35" s="36">
        <v>-4000</v>
      </c>
      <c r="BA35" s="36">
        <v>24</v>
      </c>
      <c r="BB35" s="62">
        <v>6.5</v>
      </c>
      <c r="BC35" s="36">
        <v>-1500</v>
      </c>
      <c r="BD35" s="36">
        <v>10</v>
      </c>
      <c r="BE35" s="62">
        <f>SUM(SMALL(BD35:BD46,{1,2,3,4,5,6}))/6</f>
        <v>11.166666666666666</v>
      </c>
    </row>
    <row r="36" spans="1:57" ht="12" customHeight="1" x14ac:dyDescent="0.25">
      <c r="A36" s="36">
        <v>1800</v>
      </c>
      <c r="B36" s="36">
        <v>7</v>
      </c>
      <c r="C36" s="62">
        <f>SUM(SMALL(B36:B47,{1,2,3,4,5,6}))/6</f>
        <v>5.166666666666667</v>
      </c>
      <c r="D36" s="36">
        <v>-1800</v>
      </c>
      <c r="E36" s="36">
        <v>13</v>
      </c>
      <c r="F36" s="62">
        <f>SUM(SMALL(E36:E47,{1,2,3,4,5,6}))/6</f>
        <v>8.8333333333333339</v>
      </c>
      <c r="G36" s="36">
        <v>2000</v>
      </c>
      <c r="H36" s="36">
        <v>7</v>
      </c>
      <c r="I36" s="62">
        <f>SUM(SMALL(H36:H47,{1,2,3,4,5,6}))/6</f>
        <v>1.3333333333333333</v>
      </c>
      <c r="J36" s="36"/>
      <c r="K36" s="36">
        <v>9</v>
      </c>
      <c r="L36" s="62">
        <f>SUM(SMALL(K36:K47,{1,2,3,4,5,6}))/6</f>
        <v>8</v>
      </c>
      <c r="M36" s="36"/>
      <c r="N36" s="36">
        <v>15</v>
      </c>
      <c r="O36" s="62">
        <f>SUM(SMALL(N36:N47,{1,2,3,4,5,6}))/6</f>
        <v>10.158333333333333</v>
      </c>
      <c r="P36" s="61"/>
      <c r="Q36" s="36">
        <f>14*0.8</f>
        <v>11.200000000000001</v>
      </c>
      <c r="R36" s="62">
        <v>7.666666666666667</v>
      </c>
      <c r="S36" s="36"/>
      <c r="T36" s="36"/>
      <c r="U36" s="62"/>
      <c r="V36" s="36"/>
      <c r="W36" s="36">
        <v>19</v>
      </c>
      <c r="X36" s="62">
        <f>SUM(SMALL(W36:W47,{1,2,3,4,5,6}))/6</f>
        <v>7.333333333333333</v>
      </c>
      <c r="Y36" s="64">
        <v>-480</v>
      </c>
      <c r="Z36" s="36">
        <v>20</v>
      </c>
      <c r="AA36" s="62">
        <f>SUM(SMALL(Z36:Z47,{1,2,3,4,5,6}))/6</f>
        <v>15.25</v>
      </c>
      <c r="AE36" s="64"/>
      <c r="AF36" s="36">
        <v>6</v>
      </c>
      <c r="AG36" s="62">
        <f>SUM(SMALL(AF36:AF47,{1,2,3,4,5,6}))/6</f>
        <v>6.166666666666667</v>
      </c>
      <c r="AH36" s="36"/>
      <c r="AI36" s="36">
        <v>15</v>
      </c>
      <c r="AJ36" s="62">
        <v>11.666666666666666</v>
      </c>
      <c r="AK36" s="64"/>
      <c r="AL36" s="36">
        <v>18</v>
      </c>
      <c r="AM36" s="62">
        <f>SUM(SMALL(AL36:AL47,{1,2,3,4,5,6}))/6</f>
        <v>12.761904761904765</v>
      </c>
      <c r="AN36" s="36"/>
      <c r="AO36" s="36"/>
      <c r="AP36" s="62"/>
      <c r="AQ36" s="36">
        <v>2000</v>
      </c>
      <c r="AR36" s="36">
        <v>13</v>
      </c>
      <c r="AS36" s="62">
        <f>SUM(SMALL(AR36:AR47,{1,2,3,4,5,6}))/6</f>
        <v>13.833333333333334</v>
      </c>
      <c r="AT36" s="64"/>
      <c r="AU36" s="36">
        <v>15</v>
      </c>
      <c r="AV36" s="62">
        <f>SUM(SMALL(AU36:AU47,{1,2,3,4,5,6}))/6</f>
        <v>12.333333333333334</v>
      </c>
      <c r="AZ36" s="36"/>
      <c r="BA36" s="36">
        <v>8</v>
      </c>
      <c r="BB36" s="62">
        <v>6.5</v>
      </c>
      <c r="BC36" s="36">
        <v>4000</v>
      </c>
      <c r="BD36" s="36">
        <v>12</v>
      </c>
      <c r="BE36" s="62">
        <f>SUM(SMALL(BD36:BD47,{1,2,3,4,5,6}))/6</f>
        <v>12</v>
      </c>
    </row>
    <row r="37" spans="1:57" ht="12" customHeight="1" x14ac:dyDescent="0.25">
      <c r="A37" s="36"/>
      <c r="B37" s="36">
        <v>9</v>
      </c>
      <c r="C37" s="62">
        <f>SUM(SMALL(B37:B48,{1,2,3,4,5,6}))/6</f>
        <v>5.166666666666667</v>
      </c>
      <c r="D37" s="36"/>
      <c r="E37" s="36">
        <v>8</v>
      </c>
      <c r="F37" s="62">
        <f>SUM(SMALL(E37:E48,{1,2,3,4,5,6}))/6</f>
        <v>8</v>
      </c>
      <c r="G37" s="36">
        <v>2000</v>
      </c>
      <c r="H37" s="36">
        <v>1</v>
      </c>
      <c r="I37" s="62">
        <f>SUM(SMALL(H37:H48,{1,2,3,4,5,6}))/6</f>
        <v>1.3333333333333333</v>
      </c>
      <c r="J37" s="36"/>
      <c r="K37" s="36">
        <v>9</v>
      </c>
      <c r="L37" s="62">
        <f>SUM(SMALL(K37:K48,{1,2,3,4,5,6}))/6</f>
        <v>8.3333333333333339</v>
      </c>
      <c r="M37" s="36"/>
      <c r="N37" s="36">
        <v>17</v>
      </c>
      <c r="O37" s="62">
        <f>SUM(SMALL(N37:N48,{1,2,3,4,5,6}))/6</f>
        <v>9.4916666666666671</v>
      </c>
      <c r="P37" s="36">
        <v>0</v>
      </c>
      <c r="Q37" s="36">
        <v>8</v>
      </c>
      <c r="R37" s="62">
        <v>7.666666666666667</v>
      </c>
      <c r="S37" s="11"/>
      <c r="T37" s="11"/>
      <c r="U37" s="10"/>
      <c r="V37" s="36">
        <v>0</v>
      </c>
      <c r="W37" s="36">
        <v>11</v>
      </c>
      <c r="X37" s="62">
        <f>SUM(SMALL(W37:W48,{1,2,3,4,5,6}))/6</f>
        <v>7.333333333333333</v>
      </c>
      <c r="Y37" s="64">
        <v>300</v>
      </c>
      <c r="Z37" s="36">
        <v>14</v>
      </c>
      <c r="AA37" s="62">
        <f>SUM(SMALL(Z37:Z48,{1,2,3,4,5,6}))/6</f>
        <v>14.916666666666666</v>
      </c>
      <c r="AE37" s="64"/>
      <c r="AF37" s="36">
        <v>5</v>
      </c>
      <c r="AG37" s="62">
        <f>SUM(SMALL(AF37:AF48,{1,2,3,4,5,6}))/6</f>
        <v>6.333333333333333</v>
      </c>
      <c r="AH37" s="36"/>
      <c r="AI37" s="36">
        <v>15</v>
      </c>
      <c r="AJ37" s="62">
        <v>11.666666666666666</v>
      </c>
      <c r="AK37" s="64">
        <v>2400</v>
      </c>
      <c r="AL37" s="36">
        <v>15</v>
      </c>
      <c r="AM37" s="62">
        <f>SUM(SMALL(AL37:AL48,{1,2,3,4,5,6}))/6</f>
        <v>11.428571428571431</v>
      </c>
      <c r="AN37" s="36"/>
      <c r="AO37" s="36"/>
      <c r="AP37" s="62"/>
      <c r="AQ37" s="36">
        <v>-600</v>
      </c>
      <c r="AR37" s="36">
        <v>19</v>
      </c>
      <c r="AS37" s="62">
        <f>SUM(SMALL(AR37:AR48,{1,2,3,4,5,6}))/6</f>
        <v>13.666666666666666</v>
      </c>
      <c r="AT37" s="64"/>
      <c r="AU37" s="36">
        <v>12</v>
      </c>
      <c r="AV37" s="62">
        <f>SUM(SMALL(AU37:AU48,{1,2,3,4,5,6}))/6</f>
        <v>12</v>
      </c>
      <c r="AZ37" s="36"/>
      <c r="BA37" s="36">
        <v>9</v>
      </c>
      <c r="BB37" s="62">
        <v>6.666666666666667</v>
      </c>
      <c r="BC37" s="36">
        <v>-2500</v>
      </c>
      <c r="BD37" s="36">
        <v>17</v>
      </c>
      <c r="BE37" s="62">
        <f>SUM(SMALL(BD37:BD48,{1,2,3,4,5,6}))/6</f>
        <v>12.666666666666666</v>
      </c>
    </row>
    <row r="38" spans="1:57" ht="12" customHeight="1" x14ac:dyDescent="0.25">
      <c r="A38" s="36"/>
      <c r="B38" s="36">
        <v>12</v>
      </c>
      <c r="C38" s="62">
        <f>SUM(SMALL(B38:B49,{1,2,3,4,5,6}))/6</f>
        <v>5</v>
      </c>
      <c r="D38" s="36"/>
      <c r="E38" s="36">
        <v>11</v>
      </c>
      <c r="F38" s="62">
        <f>SUM(SMALL(E38:E49,{1,2,3,4,5,6}))/6</f>
        <v>8</v>
      </c>
      <c r="G38" s="36">
        <v>0</v>
      </c>
      <c r="H38" s="36">
        <v>5</v>
      </c>
      <c r="I38" s="62">
        <f>SUM(SMALL(H38:H49,{1,2,3,4,5,6}))/6</f>
        <v>1.5</v>
      </c>
      <c r="J38" s="36"/>
      <c r="K38" s="36">
        <v>14</v>
      </c>
      <c r="L38" s="62">
        <f>SUM(SMALL(K38:K49,{1,2,3,4,5,6}))/6</f>
        <v>8.8333333333333339</v>
      </c>
      <c r="M38" s="36">
        <v>2400</v>
      </c>
      <c r="N38" s="36">
        <v>8</v>
      </c>
      <c r="O38" s="62">
        <f>SUM(SMALL(N38:N49,{1,2,3,4,5,6}))/6</f>
        <v>9.4916666666666671</v>
      </c>
      <c r="P38" s="36">
        <v>-3000</v>
      </c>
      <c r="Q38" s="36">
        <v>12</v>
      </c>
      <c r="R38" s="62">
        <v>7.833333333333333</v>
      </c>
      <c r="S38" s="11"/>
      <c r="T38" s="11"/>
      <c r="U38" s="10"/>
      <c r="V38" s="36">
        <v>4000</v>
      </c>
      <c r="W38" s="36">
        <v>5</v>
      </c>
      <c r="X38" s="62">
        <f>SUM(SMALL(W38:W49,{1,2,3,4,5,6}))/6</f>
        <v>6.5</v>
      </c>
      <c r="Y38" s="64">
        <v>-2400</v>
      </c>
      <c r="Z38" s="36">
        <v>16</v>
      </c>
      <c r="AA38" s="62">
        <f>SUM(SMALL(Z38:Z49,{1,2,3,4,5,6}))/6</f>
        <v>15.416666666666666</v>
      </c>
      <c r="AE38" s="64"/>
      <c r="AF38" s="36">
        <v>10</v>
      </c>
      <c r="AG38" s="62">
        <f>SUM(SMALL(AF38:AF49,{1,2,3,4,5,6}))/6</f>
        <v>7</v>
      </c>
      <c r="AH38" s="36">
        <v>-3000</v>
      </c>
      <c r="AI38" s="36">
        <v>15</v>
      </c>
      <c r="AJ38" s="62">
        <v>11.166666666666666</v>
      </c>
      <c r="AK38" s="64">
        <v>-600</v>
      </c>
      <c r="AL38" s="36">
        <v>11</v>
      </c>
      <c r="AM38" s="62">
        <f>SUM(SMALL(AL38:AL49,{1,2,3,4,5,6}))/6</f>
        <v>11.428571428571431</v>
      </c>
      <c r="AN38" s="36"/>
      <c r="AO38" s="36"/>
      <c r="AP38" s="62"/>
      <c r="AQ38" s="36">
        <v>-2100</v>
      </c>
      <c r="AR38" s="36">
        <v>16</v>
      </c>
      <c r="AS38" s="62">
        <f>SUM(SMALL(AR38:AR49,{1,2,3,4,5,6}))/6</f>
        <v>13.5</v>
      </c>
      <c r="AT38" s="64">
        <v>1500</v>
      </c>
      <c r="AU38" s="36">
        <v>12</v>
      </c>
      <c r="AV38" s="62">
        <f>SUM(SMALL(AU38:AU49,{1,2,3,4,5,6}))/6</f>
        <v>12.333333333333334</v>
      </c>
      <c r="AZ38" s="36"/>
      <c r="BA38" s="36">
        <v>8</v>
      </c>
      <c r="BB38" s="62">
        <v>6.666666666666667</v>
      </c>
      <c r="BC38" s="36"/>
      <c r="BD38" s="36">
        <v>19</v>
      </c>
      <c r="BE38" s="62">
        <f>SUM(SMALL(BD38:BD49,{1,2,3,4,5,6}))/6</f>
        <v>12.666666666666666</v>
      </c>
    </row>
    <row r="39" spans="1:57" ht="12" customHeight="1" x14ac:dyDescent="0.25">
      <c r="A39" s="36"/>
      <c r="B39" s="36">
        <v>5</v>
      </c>
      <c r="C39" s="62">
        <f>SUM(SMALL(B39:B50,{1,2,3,4,5,6}))/6</f>
        <v>5</v>
      </c>
      <c r="D39" s="36"/>
      <c r="E39" s="36">
        <v>16</v>
      </c>
      <c r="F39" s="62">
        <f>SUM(SMALL(E39:E50,{1,2,3,4,5,6}))/6</f>
        <v>8</v>
      </c>
      <c r="G39" s="36">
        <v>600</v>
      </c>
      <c r="H39" s="36">
        <f>12*0.8</f>
        <v>9.6000000000000014</v>
      </c>
      <c r="I39" s="62">
        <f>SUM(SMALL(H39:H50,{1,2,3,4,5,6}))/6</f>
        <v>1.5</v>
      </c>
      <c r="J39" s="36">
        <v>-1200</v>
      </c>
      <c r="K39" s="36">
        <v>16</v>
      </c>
      <c r="L39" s="62">
        <f>SUM(SMALL(K39:K50,{1,2,3,4,5,6}))/6</f>
        <v>8.8333333333333339</v>
      </c>
      <c r="M39" s="36">
        <v>2000</v>
      </c>
      <c r="N39" s="36">
        <v>18</v>
      </c>
      <c r="O39" s="62">
        <f>SUM(SMALL(N39:N50,{1,2,3,4,5,6}))/6</f>
        <v>10.158333333333333</v>
      </c>
      <c r="P39" s="36"/>
      <c r="Q39" s="36">
        <v>9</v>
      </c>
      <c r="R39" s="62">
        <v>7.833333333333333</v>
      </c>
      <c r="S39" s="11"/>
      <c r="T39" s="60"/>
      <c r="U39" s="10"/>
      <c r="V39" s="36">
        <v>-3000</v>
      </c>
      <c r="W39" s="36">
        <v>13</v>
      </c>
      <c r="X39" s="62">
        <f>SUM(SMALL(W39:W50,{1,2,3,4,5,6}))/6</f>
        <v>7.333333333333333</v>
      </c>
      <c r="Y39" s="64">
        <v>600</v>
      </c>
      <c r="Z39" s="36">
        <v>17</v>
      </c>
      <c r="AA39" s="62">
        <f>SUM(SMALL(Z39:Z50,{1,2,3,4,5,6}))/6</f>
        <v>15.416666666666666</v>
      </c>
      <c r="AE39" s="64"/>
      <c r="AF39" s="36">
        <v>9</v>
      </c>
      <c r="AG39" s="62">
        <f>SUM(SMALL(AF39:AF50,{1,2,3,4,5,6}))/6</f>
        <v>6.833333333333333</v>
      </c>
      <c r="AH39" s="36">
        <v>-900</v>
      </c>
      <c r="AI39" s="36">
        <v>13</v>
      </c>
      <c r="AJ39" s="62">
        <v>10.166666666666666</v>
      </c>
      <c r="AK39" s="64">
        <v>-600</v>
      </c>
      <c r="AL39" s="36">
        <v>16</v>
      </c>
      <c r="AM39" s="62">
        <f>SUM(SMALL(AL39:AL50,{1,2,3,4,5,6}))/6</f>
        <v>12.095238095238097</v>
      </c>
      <c r="AQ39" s="36">
        <v>-1200</v>
      </c>
      <c r="AR39" s="36">
        <v>15</v>
      </c>
      <c r="AS39" s="62">
        <f>SUM(SMALL(AR39:AR50,{1,2,3,4,5,6}))/6</f>
        <v>13.5</v>
      </c>
      <c r="AT39" s="64">
        <v>3000</v>
      </c>
      <c r="AU39" s="36">
        <v>14</v>
      </c>
      <c r="AV39" s="62">
        <f>SUM(SMALL(AU39:AU50,{1,2,3,4,5,6}))/6</f>
        <v>12.833333333333334</v>
      </c>
      <c r="AZ39" s="36"/>
      <c r="BA39" s="36">
        <v>4</v>
      </c>
      <c r="BB39" s="62">
        <v>6.9333333333333336</v>
      </c>
      <c r="BC39" s="36"/>
      <c r="BD39" s="36">
        <v>12</v>
      </c>
      <c r="BE39" s="62">
        <f>SUM(SMALL(BD39:BD50,{1,2,3,4,5,6}))/6</f>
        <v>12.666666666666666</v>
      </c>
    </row>
    <row r="40" spans="1:57" ht="12" customHeight="1" x14ac:dyDescent="0.25">
      <c r="A40" s="36"/>
      <c r="B40" s="36">
        <v>6</v>
      </c>
      <c r="C40" s="62">
        <f>SUM(SMALL(B40:B51,{1,2,3,4,5,6}))/6</f>
        <v>5.333333333333333</v>
      </c>
      <c r="D40" s="36"/>
      <c r="E40" s="36">
        <v>12</v>
      </c>
      <c r="F40" s="62">
        <f>SUM(SMALL(E40:E51,{1,2,3,4,5,6}))/6</f>
        <v>8</v>
      </c>
      <c r="G40" s="36">
        <v>-600</v>
      </c>
      <c r="H40" s="36">
        <v>3</v>
      </c>
      <c r="I40" s="62">
        <f>SUM(SMALL(H40:H51,{1,2,3,4,5,6}))/6</f>
        <v>1.3333333333333333</v>
      </c>
      <c r="J40" s="36"/>
      <c r="K40" s="36">
        <v>5</v>
      </c>
      <c r="L40" s="62">
        <f>SUM(SMALL(K40:K51,{1,2,3,4,5,6}))/6</f>
        <v>8.8333333333333339</v>
      </c>
      <c r="M40" s="36"/>
      <c r="N40" s="36">
        <v>12</v>
      </c>
      <c r="O40" s="62">
        <f>SUM(SMALL(N40:N51,{1,2,3,4,5,6}))/6</f>
        <v>10.158333333333333</v>
      </c>
      <c r="P40" s="36"/>
      <c r="Q40" s="36">
        <v>7</v>
      </c>
      <c r="R40" s="62">
        <v>7.833333333333333</v>
      </c>
      <c r="S40" s="11"/>
      <c r="T40" s="60"/>
      <c r="U40" s="10"/>
      <c r="V40" s="36"/>
      <c r="W40" s="36">
        <f>18*0.8</f>
        <v>14.4</v>
      </c>
      <c r="X40" s="62">
        <f>SUM(SMALL(W40:W51,{1,2,3,4,5,6}))/6</f>
        <v>7</v>
      </c>
      <c r="Y40" s="64">
        <v>900</v>
      </c>
      <c r="Z40" s="36">
        <v>21</v>
      </c>
      <c r="AA40" s="62">
        <f>SUM(SMALL(Z40:Z51,{1,2,3,4,5,6}))/6</f>
        <v>15.916666666666666</v>
      </c>
      <c r="AE40" s="64"/>
      <c r="AF40" s="36">
        <v>6</v>
      </c>
      <c r="AG40" s="62">
        <f>SUM(SMALL(AF40:AF51,{1,2,3,4,5,6}))/6</f>
        <v>6.833333333333333</v>
      </c>
      <c r="AH40" s="36">
        <v>-1500</v>
      </c>
      <c r="AI40" s="36">
        <v>20</v>
      </c>
      <c r="AJ40" s="62">
        <v>10.166666666666666</v>
      </c>
      <c r="AK40" s="64">
        <v>-900</v>
      </c>
      <c r="AL40" s="36">
        <v>14</v>
      </c>
      <c r="AM40" s="62">
        <f>SUM(SMALL(AL40:AL51,{1,2,3,4,5,6}))/6</f>
        <v>11.095238095238097</v>
      </c>
      <c r="AQ40" s="36">
        <v>600</v>
      </c>
      <c r="AR40" s="36">
        <v>19</v>
      </c>
      <c r="AS40" s="62">
        <f>SUM(SMALL(AR40:AR51,{1,2,3,4,5,6}))/6</f>
        <v>13</v>
      </c>
      <c r="AT40" s="64">
        <v>-4000</v>
      </c>
      <c r="AU40" s="36">
        <v>20</v>
      </c>
      <c r="AV40" s="62">
        <f>SUM(SMALL(AU40:AU51,{1,2,3,4,5,6}))/6</f>
        <v>13</v>
      </c>
      <c r="AZ40" s="36"/>
      <c r="BA40" s="36">
        <v>8</v>
      </c>
      <c r="BB40" s="62">
        <v>7.7666666666666666</v>
      </c>
      <c r="BC40" s="36"/>
      <c r="BD40" s="36">
        <v>9</v>
      </c>
      <c r="BE40" s="62">
        <f>SUM(SMALL(BD40:BD51,{1,2,3,4,5,6}))/6</f>
        <v>13</v>
      </c>
    </row>
    <row r="41" spans="1:57" ht="12" customHeight="1" x14ac:dyDescent="0.3">
      <c r="A41" s="36"/>
      <c r="B41" s="36">
        <v>8</v>
      </c>
      <c r="C41" s="62">
        <f>SUM(SMALL(B41:B52,{1,2,3,4,5,6}))/6</f>
        <v>5.5</v>
      </c>
      <c r="D41" s="36">
        <v>1500</v>
      </c>
      <c r="E41" s="36">
        <v>8</v>
      </c>
      <c r="F41" s="62">
        <f>SUM(SMALL(E41:E52,{1,2,3,4,5,6}))/6</f>
        <v>8</v>
      </c>
      <c r="G41" s="36">
        <v>2000</v>
      </c>
      <c r="H41" s="36">
        <v>4</v>
      </c>
      <c r="I41" s="62">
        <f>SUM(SMALL(H41:H52,{1,2,3,4,5,6}))/6</f>
        <v>1.3333333333333333</v>
      </c>
      <c r="J41" s="36"/>
      <c r="K41" s="36">
        <v>7</v>
      </c>
      <c r="L41" s="62">
        <f>SUM(SMALL(K41:K52,{1,2,3,4,5,6}))/6</f>
        <v>10</v>
      </c>
      <c r="M41" s="36">
        <v>-1000</v>
      </c>
      <c r="N41" s="36">
        <v>23</v>
      </c>
      <c r="O41" s="62">
        <f>SUM(SMALL(N41:N52,{1,2,3,4,5,6}))/6</f>
        <v>10.325000000000001</v>
      </c>
      <c r="P41" s="36"/>
      <c r="Q41" s="38">
        <v>8</v>
      </c>
      <c r="R41" s="62">
        <v>8.1666666666666661</v>
      </c>
      <c r="S41" s="11"/>
      <c r="T41" s="37"/>
      <c r="U41" s="10"/>
      <c r="V41" s="36">
        <v>2400</v>
      </c>
      <c r="W41" s="36">
        <v>5</v>
      </c>
      <c r="X41" s="62">
        <f>SUM(SMALL(W41:W52,{1,2,3,4,5,6}))/6</f>
        <v>7</v>
      </c>
      <c r="Y41" s="64">
        <v>300</v>
      </c>
      <c r="Z41" s="36">
        <v>24</v>
      </c>
      <c r="AA41" s="62">
        <f>SUM(SMALL(Z41:Z52,{1,2,3,4,5,6}))/6</f>
        <v>15.75</v>
      </c>
      <c r="AE41" s="64"/>
      <c r="AF41" s="36">
        <v>7</v>
      </c>
      <c r="AG41" s="62">
        <f>SUM(SMALL(AF41:AF52,{1,2,3,4,5,6}))/6</f>
        <v>7.4333333333333336</v>
      </c>
      <c r="AH41" s="36"/>
      <c r="AI41" s="38">
        <v>11</v>
      </c>
      <c r="AJ41" s="62">
        <v>10.166666666666666</v>
      </c>
      <c r="AK41" s="64"/>
      <c r="AL41" s="36">
        <f>16*1.1</f>
        <v>17.600000000000001</v>
      </c>
      <c r="AM41" s="62">
        <f>SUM(SMALL(AL41:AL52,{1,2,3,4,5,6}))/6</f>
        <v>10.761904761904765</v>
      </c>
      <c r="AQ41" s="36"/>
      <c r="AR41" s="36">
        <v>20</v>
      </c>
      <c r="AS41" s="62">
        <f>SUM(SMALL(AR41:AR52,{1,2,3,4,5,6}))/6</f>
        <v>12.833333333333334</v>
      </c>
      <c r="AT41" s="64">
        <v>2500</v>
      </c>
      <c r="AU41" s="36">
        <v>21</v>
      </c>
      <c r="AV41" s="62">
        <f>SUM(SMALL(AU41:AU52,{1,2,3,4,5,6}))/6</f>
        <v>12</v>
      </c>
      <c r="AZ41" s="36"/>
      <c r="BA41" s="36">
        <v>9</v>
      </c>
      <c r="BB41" s="62">
        <v>8.2666666666666675</v>
      </c>
      <c r="BC41" s="36"/>
      <c r="BD41" s="36">
        <v>10</v>
      </c>
      <c r="BE41" s="62">
        <f>SUM(SMALL(BD41:BD52,{1,2,3,4,5,6}))/6</f>
        <v>14.333333333333334</v>
      </c>
    </row>
    <row r="42" spans="1:57" ht="12" customHeight="1" x14ac:dyDescent="0.25">
      <c r="A42" s="36">
        <v>-3300</v>
      </c>
      <c r="B42" s="36">
        <v>8</v>
      </c>
      <c r="C42" s="62">
        <f>SUM(SMALL(B42:B53,{1,2,3,4,5,6}))/6</f>
        <v>5.5</v>
      </c>
      <c r="D42" s="36"/>
      <c r="E42" s="36">
        <v>9</v>
      </c>
      <c r="F42" s="62">
        <f>SUM(SMALL(E42:E53,{1,2,3,4,5,6}))/6</f>
        <v>8</v>
      </c>
      <c r="G42" s="36"/>
      <c r="H42" s="65">
        <v>0</v>
      </c>
      <c r="I42" s="62">
        <f>SUM(SMALL(H42:H53,{1,2,3,4,5,6}))/6</f>
        <v>1.3333333333333333</v>
      </c>
      <c r="J42" s="36">
        <v>1500</v>
      </c>
      <c r="K42" s="36">
        <v>7</v>
      </c>
      <c r="L42" s="62">
        <f>SUM(SMALL(K42:K53,{1,2,3,4,5,6}))/6</f>
        <v>10.833333333333334</v>
      </c>
      <c r="M42" s="36">
        <v>3000</v>
      </c>
      <c r="N42" s="36">
        <v>16</v>
      </c>
      <c r="O42" s="62">
        <f>SUM(SMALL(N42:N53,{1,2,3,4,5,6}))/6</f>
        <v>10.325000000000001</v>
      </c>
      <c r="P42" s="36"/>
      <c r="Q42" s="36"/>
      <c r="R42" s="62"/>
      <c r="S42" s="11"/>
      <c r="T42" s="11"/>
      <c r="U42" s="10"/>
      <c r="V42" s="36">
        <v>-1500</v>
      </c>
      <c r="W42" s="36">
        <v>9</v>
      </c>
      <c r="X42" s="62">
        <v>7.833333333333333</v>
      </c>
      <c r="Y42" s="64">
        <v>-1000</v>
      </c>
      <c r="Z42" s="36">
        <f>15*1.1</f>
        <v>16.5</v>
      </c>
      <c r="AA42" s="62">
        <f>SUM(SMALL(Z42:Z53,{1,2,3,4,5,6}))/6</f>
        <v>15.25</v>
      </c>
      <c r="AE42" s="64"/>
      <c r="AF42" s="36">
        <f>16*0.8</f>
        <v>12.8</v>
      </c>
      <c r="AG42" s="62">
        <f>SUM(SMALL(AF42:AF53,{1,2,3,4,5,6}))/6</f>
        <v>7.6000000000000005</v>
      </c>
      <c r="AH42" s="36"/>
      <c r="AI42" s="36"/>
      <c r="AJ42" s="62"/>
      <c r="AK42" s="64">
        <v>-300</v>
      </c>
      <c r="AL42" s="36">
        <v>14</v>
      </c>
      <c r="AM42" s="62">
        <f>SUM(SMALL(AL42:AL53,{1,2,3,4,5,6}))/6</f>
        <v>9.5952380952380967</v>
      </c>
      <c r="AQ42" s="36"/>
      <c r="AR42" s="36">
        <v>22</v>
      </c>
      <c r="AS42" s="62">
        <f>SUM(SMALL(AR42:AR53,{1,2,3,4,5,6}))/6</f>
        <v>12.833333333333334</v>
      </c>
      <c r="AT42" s="64"/>
      <c r="AU42" s="36">
        <v>13</v>
      </c>
      <c r="AV42" s="62">
        <f>SUM(SMALL(AU42:AU53,{1,2,3,4,5,6}))/6</f>
        <v>12</v>
      </c>
      <c r="AZ42" s="36"/>
      <c r="BA42" s="36">
        <v>6</v>
      </c>
      <c r="BB42" s="62">
        <v>8.4333333333333336</v>
      </c>
      <c r="BC42" s="36">
        <v>-1000</v>
      </c>
      <c r="BD42" s="36">
        <v>17</v>
      </c>
      <c r="BE42" s="62">
        <f>SUM(SMALL(BD42:BD53,{1,2,3,4,5,6}))/6</f>
        <v>14.833333333333334</v>
      </c>
    </row>
    <row r="43" spans="1:57" ht="12" customHeight="1" x14ac:dyDescent="0.25">
      <c r="A43" s="36"/>
      <c r="B43" s="36">
        <f>12*0.8</f>
        <v>9.6000000000000014</v>
      </c>
      <c r="C43" s="62">
        <f>SUM(SMALL(B43:B54,{1,2,3,4,5,6}))/6</f>
        <v>5.5</v>
      </c>
      <c r="D43" s="36">
        <v>-2000</v>
      </c>
      <c r="E43" s="36">
        <v>9</v>
      </c>
      <c r="F43" s="62">
        <f>SUM(SMALL(E43:E54,{1,2,3,4,5,6}))/6</f>
        <v>8.1666666666666661</v>
      </c>
      <c r="G43" s="36">
        <v>-2000</v>
      </c>
      <c r="H43" s="36">
        <v>5</v>
      </c>
      <c r="I43" s="62">
        <f>SUM(SMALL(H43:H54,{1,2,3,4,5,6}))/6</f>
        <v>2</v>
      </c>
      <c r="J43" s="36"/>
      <c r="K43" s="36">
        <v>11</v>
      </c>
      <c r="L43" s="62">
        <f>SUM(SMALL(K43:K54,{1,2,3,4,5,6}))/6</f>
        <v>12.166666666666666</v>
      </c>
      <c r="M43" s="36">
        <v>2400</v>
      </c>
      <c r="N43" s="36">
        <v>10</v>
      </c>
      <c r="O43" s="62">
        <v>10.325000000000001</v>
      </c>
      <c r="S43" s="11"/>
      <c r="T43" s="11"/>
      <c r="U43" s="10"/>
      <c r="V43" s="61"/>
      <c r="W43" s="36">
        <v>10</v>
      </c>
      <c r="X43" s="62">
        <v>8.1666666666666661</v>
      </c>
      <c r="Y43" s="64"/>
      <c r="Z43" s="36">
        <v>21</v>
      </c>
      <c r="AA43" s="62">
        <f>SUM(SMALL(Z43:Z54,{1,2,3,4,5,6}))/6</f>
        <v>15.333333333333334</v>
      </c>
      <c r="AE43" s="64"/>
      <c r="AF43" s="36">
        <f>12*0.8</f>
        <v>9.6000000000000014</v>
      </c>
      <c r="AG43" s="62">
        <f>SUM(SMALL(AF43:AF54,{1,2,3,4,5,6}))/6</f>
        <v>6.833333333333333</v>
      </c>
      <c r="AH43" s="36"/>
      <c r="AI43" s="36"/>
      <c r="AJ43" s="62"/>
      <c r="AK43" s="64"/>
      <c r="AL43" s="36">
        <v>17</v>
      </c>
      <c r="AM43" s="62">
        <f>SUM(SMALL(AL43:AL54,{1,2,3,4,5,6}))/6</f>
        <v>9.5952380952380967</v>
      </c>
      <c r="AQ43" s="36">
        <v>-2400</v>
      </c>
      <c r="AR43" s="36">
        <v>11</v>
      </c>
      <c r="AS43" s="62">
        <v>12.833333333333334</v>
      </c>
      <c r="AT43" s="64"/>
      <c r="AU43" s="36">
        <v>21</v>
      </c>
      <c r="AV43" s="62">
        <f>SUM(SMALL(AU43:AU54,{1,2,3,4,5,6}))/6</f>
        <v>12.333333333333334</v>
      </c>
      <c r="AZ43" s="36"/>
      <c r="BA43" s="36">
        <v>14</v>
      </c>
      <c r="BB43" s="62">
        <v>8.9333333333333336</v>
      </c>
      <c r="BC43" s="36"/>
      <c r="BD43" s="36">
        <v>15</v>
      </c>
      <c r="BE43" s="62">
        <f>SUM(SMALL(BD43:BD54,{1,2,3,4,5,6}))/6</f>
        <v>14.333333333333334</v>
      </c>
    </row>
    <row r="44" spans="1:57" ht="12" customHeight="1" x14ac:dyDescent="0.3">
      <c r="A44" s="36">
        <v>-300</v>
      </c>
      <c r="B44" s="36">
        <v>7</v>
      </c>
      <c r="C44" s="62">
        <f>SUM(SMALL(B44:B55,{1,2,3,4,5,6}))/6</f>
        <v>4.5</v>
      </c>
      <c r="D44" s="36"/>
      <c r="E44" s="36">
        <v>16</v>
      </c>
      <c r="F44" s="62">
        <f>SUM(SMALL(E44:E55,{1,2,3,4,5,6}))/6</f>
        <v>8.5</v>
      </c>
      <c r="G44" s="36">
        <v>1000</v>
      </c>
      <c r="H44" s="65">
        <v>0</v>
      </c>
      <c r="I44" s="62">
        <f>SUM(SMALL(H44:H55,{1,2,3,4,5,6}))/6</f>
        <v>2</v>
      </c>
      <c r="J44" s="36"/>
      <c r="K44" s="36">
        <v>15</v>
      </c>
      <c r="L44" s="62">
        <f>SUM(SMALL(K44:K55,{1,2,3,4,5,6}))/6</f>
        <v>11.5</v>
      </c>
      <c r="M44" s="36">
        <v>-2400</v>
      </c>
      <c r="N44" s="36">
        <v>13</v>
      </c>
      <c r="O44" s="62">
        <v>10.825000000000001</v>
      </c>
      <c r="S44" s="11"/>
      <c r="T44" s="11"/>
      <c r="U44" s="10"/>
      <c r="V44" s="61"/>
      <c r="W44" s="36">
        <v>11</v>
      </c>
      <c r="X44" s="62">
        <v>8.3333333333333339</v>
      </c>
      <c r="Y44" s="64">
        <v>-4000</v>
      </c>
      <c r="Z44" s="36">
        <v>24</v>
      </c>
      <c r="AA44" s="62">
        <f>SUM(SMALL(Z44:Z55,{1,2,3,4,5,6}))/6</f>
        <v>15</v>
      </c>
      <c r="AE44" s="64"/>
      <c r="AF44" s="36">
        <f>14*0.8</f>
        <v>11.200000000000001</v>
      </c>
      <c r="AG44" s="62">
        <f>SUM(SMALL(AF44:AF55,{1,2,3,4,5,6}))/6</f>
        <v>6.833333333333333</v>
      </c>
      <c r="AH44" s="36"/>
      <c r="AI44" s="36"/>
      <c r="AJ44" s="62"/>
      <c r="AK44" s="64"/>
      <c r="AL44" s="36">
        <v>11</v>
      </c>
      <c r="AM44" s="62">
        <f>SUM(SMALL(AL44:AL55,{1,2,3,4,5,6}))/6</f>
        <v>9.0952380952380967</v>
      </c>
      <c r="AQ44" s="36">
        <v>600</v>
      </c>
      <c r="AR44" s="36">
        <v>20</v>
      </c>
      <c r="AS44" s="62">
        <v>13</v>
      </c>
      <c r="AT44" s="64">
        <v>4000</v>
      </c>
      <c r="AU44" s="36">
        <v>10</v>
      </c>
      <c r="AV44" s="62">
        <f>SUM(SMALL(AU44:AU55,{1,2,3,4,5,6}))/6</f>
        <v>12.333333333333334</v>
      </c>
      <c r="AZ44" s="36"/>
      <c r="BA44" s="38">
        <f>12*0.8</f>
        <v>9.6000000000000014</v>
      </c>
      <c r="BB44" s="62">
        <v>8.9333333333333336</v>
      </c>
      <c r="BC44" s="36"/>
      <c r="BD44" s="36">
        <v>23</v>
      </c>
      <c r="BE44" s="62">
        <f>SUM(SMALL(BD44:BD55,{1,2,3,4,5,6}))/6</f>
        <v>14.5</v>
      </c>
    </row>
    <row r="45" spans="1:57" ht="12" customHeight="1" x14ac:dyDescent="0.25">
      <c r="A45" s="36">
        <v>1800</v>
      </c>
      <c r="B45" s="36">
        <v>9</v>
      </c>
      <c r="C45" s="62">
        <f>SUM(SMALL(B45:B56,{1,2,3,4,5,6}))/6</f>
        <v>4.5</v>
      </c>
      <c r="D45" s="36"/>
      <c r="E45" s="36">
        <v>8</v>
      </c>
      <c r="F45" s="62">
        <f>SUM(SMALL(E45:E56,{1,2,3,4,5,6}))/6</f>
        <v>8.5</v>
      </c>
      <c r="G45" s="36"/>
      <c r="H45" s="36">
        <v>2</v>
      </c>
      <c r="I45" s="62">
        <f>SUM(SMALL(H45:H56,{1,2,3,4,5,6}))/6</f>
        <v>2.8333333333333335</v>
      </c>
      <c r="J45" s="36">
        <v>-1000</v>
      </c>
      <c r="K45" s="36">
        <v>11</v>
      </c>
      <c r="L45" s="62">
        <f>SUM(SMALL(K45:K56,{1,2,3,4,5,6}))/6</f>
        <v>11.166666666666666</v>
      </c>
      <c r="M45" s="36">
        <v>2100</v>
      </c>
      <c r="N45" s="36">
        <f>6*1.125</f>
        <v>6.75</v>
      </c>
      <c r="O45" s="62">
        <v>11.058333333333335</v>
      </c>
      <c r="S45" s="11"/>
      <c r="T45" s="11"/>
      <c r="U45" s="10"/>
      <c r="V45" s="61"/>
      <c r="W45" s="36">
        <v>8</v>
      </c>
      <c r="X45" s="62">
        <v>8.5</v>
      </c>
      <c r="Y45" s="64">
        <v>-1600</v>
      </c>
      <c r="Z45" s="36">
        <v>15</v>
      </c>
      <c r="AA45" s="62">
        <f>SUM(SMALL(Z45:Z56,{1,2,3,4,5,6}))/6</f>
        <v>14.833333333333334</v>
      </c>
      <c r="AE45" s="64"/>
      <c r="AF45" s="36">
        <v>12</v>
      </c>
      <c r="AG45" s="62">
        <f>SUM(SMALL(AF45:AF56,{1,2,3,4,5,6}))/6</f>
        <v>6.5</v>
      </c>
      <c r="AH45" s="11"/>
      <c r="AI45" s="11"/>
      <c r="AJ45" s="10"/>
      <c r="AK45" s="64"/>
      <c r="AL45" s="36">
        <v>18</v>
      </c>
      <c r="AM45" s="62">
        <f>SUM(SMALL(AL45:AL56,{1,2,3,4,5,6}))/6</f>
        <v>9.2619047619047628</v>
      </c>
      <c r="AQ45" s="36">
        <v>3300</v>
      </c>
      <c r="AR45" s="36">
        <v>16</v>
      </c>
      <c r="AS45" s="62">
        <v>11.5</v>
      </c>
      <c r="AT45" s="64"/>
      <c r="AU45" s="36">
        <v>15</v>
      </c>
      <c r="AV45" s="62">
        <f>SUM(SMALL(AU45:AU56,{1,2,3,4,5,6}))/6</f>
        <v>13.333333333333334</v>
      </c>
      <c r="AZ45" s="36"/>
      <c r="BA45" s="36"/>
      <c r="BB45" s="62"/>
      <c r="BC45" s="36"/>
      <c r="BD45" s="36">
        <v>14</v>
      </c>
      <c r="BE45" s="62">
        <f>SUM(SMALL(BD45:BD56,{1,2,3,4,5,6}))/6</f>
        <v>13.700000000000001</v>
      </c>
    </row>
    <row r="46" spans="1:57" ht="12" customHeight="1" x14ac:dyDescent="0.25">
      <c r="A46" s="36">
        <v>2000</v>
      </c>
      <c r="B46" s="36">
        <v>4</v>
      </c>
      <c r="C46" s="62">
        <f>SUM(SMALL(B46:B57,{1,2,3,4,5,6}))/6</f>
        <v>4</v>
      </c>
      <c r="D46" s="36">
        <v>-1500</v>
      </c>
      <c r="E46" s="36">
        <f>19*0.8</f>
        <v>15.200000000000001</v>
      </c>
      <c r="F46" s="62">
        <f>SUM(SMALL(E46:E57,{1,2,3,4,5,6}))/6</f>
        <v>9.3333333333333339</v>
      </c>
      <c r="G46" s="36"/>
      <c r="H46" s="36">
        <v>7</v>
      </c>
      <c r="I46" s="62">
        <f>SUM(SMALL(H46:H57,{1,2,3,4,5,6}))/6</f>
        <v>3.3333333333333335</v>
      </c>
      <c r="J46" s="36">
        <v>1500</v>
      </c>
      <c r="K46" s="36">
        <f>15*0.8</f>
        <v>12</v>
      </c>
      <c r="L46" s="62">
        <f>SUM(SMALL(K46:K57,{1,2,3,4,5,6}))/6</f>
        <v>11.166666666666666</v>
      </c>
      <c r="M46" s="36">
        <v>-3000</v>
      </c>
      <c r="N46" s="36">
        <f>14*0.8</f>
        <v>11.200000000000001</v>
      </c>
      <c r="O46" s="62">
        <v>12.433333333333332</v>
      </c>
      <c r="S46" s="11"/>
      <c r="T46" s="11"/>
      <c r="U46" s="10"/>
      <c r="V46" s="36"/>
      <c r="W46" s="36">
        <v>7</v>
      </c>
      <c r="X46" s="62">
        <v>8.3333333333333339</v>
      </c>
      <c r="Y46" s="64">
        <v>4000</v>
      </c>
      <c r="Z46" s="36">
        <v>13</v>
      </c>
      <c r="AA46" s="62">
        <f>SUM(SMALL(Z46:Z57,{1,2,3,4,5,6}))/6</f>
        <v>15</v>
      </c>
      <c r="AE46" s="64"/>
      <c r="AF46" s="36">
        <v>6</v>
      </c>
      <c r="AG46" s="62">
        <f>SUM(SMALL(AF46:AF57,{1,2,3,4,5,6}))/6</f>
        <v>6.5</v>
      </c>
      <c r="AH46" s="11"/>
      <c r="AI46" s="11"/>
      <c r="AJ46" s="10"/>
      <c r="AK46" s="64">
        <v>-1400</v>
      </c>
      <c r="AL46" s="36">
        <v>17</v>
      </c>
      <c r="AM46" s="62">
        <f>SUM(SMALL(AL46:AL57,{1,2,3,4,5,6}))/6</f>
        <v>9.2619047619047628</v>
      </c>
      <c r="AQ46" s="61"/>
      <c r="AR46" s="36">
        <v>20</v>
      </c>
      <c r="AS46" s="62">
        <v>11.166666666666666</v>
      </c>
      <c r="AT46" s="64"/>
      <c r="AU46" s="36">
        <v>13</v>
      </c>
      <c r="AV46" s="62">
        <f>SUM(SMALL(AU46:AU57,{1,2,3,4,5,6}))/6</f>
        <v>12.833333333333334</v>
      </c>
      <c r="AZ46" s="36"/>
      <c r="BA46" s="36"/>
      <c r="BB46" s="62"/>
      <c r="BC46" s="36">
        <v>3300</v>
      </c>
      <c r="BD46" s="36">
        <v>16</v>
      </c>
      <c r="BE46" s="62">
        <f>SUM(SMALL(BD46:BD57,{1,2,3,4,5,6}))/6</f>
        <v>13.866666666666667</v>
      </c>
    </row>
    <row r="47" spans="1:57" ht="12" customHeight="1" x14ac:dyDescent="0.3">
      <c r="A47" s="36">
        <v>1600</v>
      </c>
      <c r="B47" s="36">
        <v>2</v>
      </c>
      <c r="C47" s="62">
        <f>SUM(SMALL(B47:B58,{1,2,3,4,5,6}))/6</f>
        <v>4.333333333333333</v>
      </c>
      <c r="D47" s="36">
        <v>-1800</v>
      </c>
      <c r="E47" s="36">
        <v>19</v>
      </c>
      <c r="F47" s="62">
        <f>SUM(SMALL(E47:E58,{1,2,3,4,5,6}))/6</f>
        <v>8.8333333333333339</v>
      </c>
      <c r="G47" s="36">
        <v>2700</v>
      </c>
      <c r="H47" s="36">
        <v>2</v>
      </c>
      <c r="I47" s="62">
        <f>SUM(SMALL(H47:H58,{1,2,3,4,5,6}))/6</f>
        <v>3.3333333333333335</v>
      </c>
      <c r="J47" s="36">
        <v>1500</v>
      </c>
      <c r="K47" s="36">
        <v>15</v>
      </c>
      <c r="L47" s="62">
        <f>SUM(SMALL(K47:K58,{1,2,3,4,5,6}))/6</f>
        <v>10.5</v>
      </c>
      <c r="M47" s="36">
        <v>3300</v>
      </c>
      <c r="N47" s="36">
        <f>19*0.8</f>
        <v>15.200000000000001</v>
      </c>
      <c r="O47" s="62">
        <v>13.1</v>
      </c>
      <c r="S47" s="11"/>
      <c r="T47" s="37"/>
      <c r="U47" s="10"/>
      <c r="V47" s="36">
        <v>500</v>
      </c>
      <c r="W47" s="36">
        <v>14</v>
      </c>
      <c r="X47" s="62">
        <v>9.1666666666666661</v>
      </c>
      <c r="Y47" s="64">
        <v>900</v>
      </c>
      <c r="Z47" s="36">
        <v>20</v>
      </c>
      <c r="AA47" s="62">
        <f>SUM(SMALL(Z47:Z58,{1,2,3,4,5,6}))/6</f>
        <v>15.666666666666666</v>
      </c>
      <c r="AE47" s="64">
        <v>1000</v>
      </c>
      <c r="AF47" s="36">
        <v>7</v>
      </c>
      <c r="AG47" s="62">
        <f>SUM(SMALL(AF47:AF58,{1,2,3,4,5,6}))/6</f>
        <v>6.833333333333333</v>
      </c>
      <c r="AH47" s="11"/>
      <c r="AI47" s="11"/>
      <c r="AJ47" s="10"/>
      <c r="AK47" s="64"/>
      <c r="AL47" s="36">
        <f>0.642857142857143*18</f>
        <v>11.571428571428575</v>
      </c>
      <c r="AM47" s="62">
        <f>SUM(SMALL(AL47:AL58,{1,2,3,4,5,6}))/6</f>
        <v>9.2619047619047628</v>
      </c>
      <c r="AQ47" s="61"/>
      <c r="AR47" s="36">
        <v>12</v>
      </c>
      <c r="AS47" s="62">
        <v>11.166666666666666</v>
      </c>
      <c r="AT47" s="64"/>
      <c r="AU47" s="36">
        <v>15</v>
      </c>
      <c r="AV47" s="62">
        <f>SUM(SMALL(AU47:AU58,{1,2,3,4,5,6}))/6</f>
        <v>13.238095238095239</v>
      </c>
      <c r="AZ47" s="11"/>
      <c r="BA47" s="11"/>
      <c r="BB47" s="10"/>
      <c r="BC47" s="36"/>
      <c r="BD47" s="36">
        <v>22</v>
      </c>
      <c r="BE47" s="62">
        <f>SUM(SMALL(BD47:BD58,{1,2,3,4,5,6}))/6</f>
        <v>13.700000000000001</v>
      </c>
    </row>
    <row r="48" spans="1:57" ht="12" customHeight="1" x14ac:dyDescent="0.3">
      <c r="A48" s="36">
        <v>300</v>
      </c>
      <c r="B48" s="36">
        <v>7</v>
      </c>
      <c r="C48" s="62">
        <f>SUM(SMALL(B48:B59,{1,2,3,4,5,6}))/6</f>
        <v>5.166666666666667</v>
      </c>
      <c r="D48" s="36">
        <v>-1600</v>
      </c>
      <c r="E48" s="36">
        <v>6</v>
      </c>
      <c r="F48" s="62">
        <f>SUM(SMALL(E48:E59,{1,2,3,4,5,6}))/6</f>
        <v>8.8333333333333339</v>
      </c>
      <c r="G48" s="36">
        <v>1000</v>
      </c>
      <c r="H48" s="36">
        <v>5</v>
      </c>
      <c r="I48" s="62">
        <f>SUM(SMALL(H48:H59,{1,2,3,4,5,6}))/6</f>
        <v>3.8333333333333335</v>
      </c>
      <c r="J48" s="36">
        <v>-2000</v>
      </c>
      <c r="K48" s="36">
        <f>15*1.1</f>
        <v>16.5</v>
      </c>
      <c r="L48" s="62">
        <f>SUM(SMALL(K48:K59,{1,2,3,4,5,6}))/6</f>
        <v>10.5</v>
      </c>
      <c r="M48" s="36"/>
      <c r="N48" s="36">
        <v>9</v>
      </c>
      <c r="O48" s="62">
        <v>13.233333333333334</v>
      </c>
      <c r="S48" s="11"/>
      <c r="T48" s="42"/>
      <c r="U48" s="10"/>
      <c r="V48" s="36"/>
      <c r="W48" s="36">
        <v>11</v>
      </c>
      <c r="X48" s="62">
        <v>9.1666666666666661</v>
      </c>
      <c r="Y48" s="64">
        <v>4000</v>
      </c>
      <c r="Z48" s="36">
        <v>15</v>
      </c>
      <c r="AA48" s="62">
        <f>SUM(SMALL(Z48:Z59,{1,2,3,4,5,6}))/6</f>
        <v>15.666666666666666</v>
      </c>
      <c r="AE48" s="64"/>
      <c r="AF48" s="36">
        <v>7</v>
      </c>
      <c r="AG48" s="62">
        <f>SUM(SMALL(AF48:AF59,{1,2,3,4,5,6}))/6</f>
        <v>6.666666666666667</v>
      </c>
      <c r="AK48" s="64">
        <v>3000</v>
      </c>
      <c r="AL48" s="36">
        <v>7</v>
      </c>
      <c r="AM48" s="62">
        <f>SUM(SMALL(AL48:AL59,{1,2,3,4,5,6}))/6</f>
        <v>9.3333333333333339</v>
      </c>
      <c r="AQ48" s="61"/>
      <c r="AR48" s="36">
        <v>12</v>
      </c>
      <c r="AS48" s="62">
        <v>11.333333333333334</v>
      </c>
      <c r="AT48" s="64"/>
      <c r="AU48" s="36">
        <v>12</v>
      </c>
      <c r="AV48" s="62">
        <f>SUM(SMALL(AU48:AU59,{1,2,3,4,5,6}))/6</f>
        <v>13.404761904761905</v>
      </c>
      <c r="AZ48" s="11"/>
      <c r="BA48" s="37"/>
      <c r="BB48" s="10"/>
      <c r="BC48" s="36">
        <v>3300</v>
      </c>
      <c r="BD48" s="36">
        <v>20</v>
      </c>
      <c r="BE48" s="62">
        <f>SUM(SMALL(BD48:BD59,{1,2,3,4,5,6}))/6</f>
        <v>13.700000000000001</v>
      </c>
    </row>
    <row r="49" spans="1:57" ht="12" customHeight="1" x14ac:dyDescent="0.25">
      <c r="A49" s="36"/>
      <c r="B49" s="36">
        <v>6</v>
      </c>
      <c r="C49" s="62">
        <f>SUM(SMALL(B49:B60,{1,2,3,4,5,6}))/6</f>
        <v>4.666666666666667</v>
      </c>
      <c r="D49" s="36"/>
      <c r="E49" s="36">
        <v>8</v>
      </c>
      <c r="F49" s="62">
        <f>SUM(SMALL(E49:E60,{1,2,3,4,5,6}))/6</f>
        <v>9.5</v>
      </c>
      <c r="G49" s="36">
        <v>3000</v>
      </c>
      <c r="H49" s="36">
        <v>2</v>
      </c>
      <c r="I49" s="62">
        <f>SUM(SMALL(H49:H60,{1,2,3,4,5,6}))/6</f>
        <v>3.5</v>
      </c>
      <c r="J49" s="36">
        <v>2000</v>
      </c>
      <c r="K49" s="36">
        <v>12</v>
      </c>
      <c r="L49" s="62">
        <f>SUM(SMALL(K49:K60,{1,2,3,4,5,6}))/6</f>
        <v>10</v>
      </c>
      <c r="M49" s="36"/>
      <c r="N49" s="36">
        <v>13</v>
      </c>
      <c r="O49" s="62">
        <v>13.566666666666668</v>
      </c>
      <c r="V49" s="36">
        <v>3000</v>
      </c>
      <c r="W49" s="36">
        <v>5</v>
      </c>
      <c r="X49" s="62">
        <v>8.5333333333333332</v>
      </c>
      <c r="Y49" s="64">
        <v>2700</v>
      </c>
      <c r="Z49" s="36">
        <v>21</v>
      </c>
      <c r="AA49" s="62">
        <f>SUM(SMALL(Z49:Z60,{1,2,3,4,5,6}))/6</f>
        <v>16</v>
      </c>
      <c r="AE49" s="64"/>
      <c r="AF49" s="36">
        <v>15</v>
      </c>
      <c r="AG49" s="62">
        <f>SUM(SMALL(AF49:AF60,{1,2,3,4,5,6}))/6</f>
        <v>6.333333333333333</v>
      </c>
      <c r="AK49" s="64"/>
      <c r="AL49" s="36">
        <v>17</v>
      </c>
      <c r="AM49" s="62">
        <f>SUM(SMALL(AL49:AL60,{1,2,3,4,5,6}))/6</f>
        <v>10.166666666666666</v>
      </c>
      <c r="AQ49" s="36"/>
      <c r="AR49" s="36">
        <v>15</v>
      </c>
      <c r="AS49" s="62">
        <v>11.666666666666666</v>
      </c>
      <c r="AT49" s="64">
        <v>-1000</v>
      </c>
      <c r="AU49" s="36">
        <v>16</v>
      </c>
      <c r="AV49" s="62">
        <f>SUM(SMALL(AU49:AU60,{1,2,3,4,5,6}))/6</f>
        <v>13.404761904761905</v>
      </c>
      <c r="AZ49" s="11"/>
      <c r="BA49" s="11"/>
      <c r="BB49" s="10"/>
      <c r="BC49" s="36"/>
      <c r="BD49" s="36">
        <v>22</v>
      </c>
      <c r="BE49" s="62">
        <f>SUM(SMALL(BD49:BD60,{1,2,3,4,5,6}))/6</f>
        <v>13.583333333333334</v>
      </c>
    </row>
    <row r="50" spans="1:57" ht="12" customHeight="1" x14ac:dyDescent="0.25">
      <c r="A50" s="36"/>
      <c r="B50" s="36">
        <v>7</v>
      </c>
      <c r="C50" s="62">
        <f>SUM(SMALL(B50:B61,{1,2,3,4,5,6}))/6</f>
        <v>5.166666666666667</v>
      </c>
      <c r="D50" s="36"/>
      <c r="E50" s="36">
        <v>10</v>
      </c>
      <c r="F50" s="62">
        <f>SUM(SMALL(E50:E61,{1,2,3,4,5,6}))/6</f>
        <v>10.183333333333334</v>
      </c>
      <c r="G50" s="36">
        <v>1000</v>
      </c>
      <c r="H50" s="36">
        <v>4</v>
      </c>
      <c r="I50" s="62">
        <f>SUM(SMALL(H50:H61,{1,2,3,4,5,6}))/6</f>
        <v>4</v>
      </c>
      <c r="J50" s="36">
        <v>-600</v>
      </c>
      <c r="K50" s="36">
        <f>23*0.8</f>
        <v>18.400000000000002</v>
      </c>
      <c r="L50" s="62">
        <f>SUM(SMALL(K50:K61,{1,2,3,4,5,6}))/6</f>
        <v>9.5</v>
      </c>
      <c r="M50" s="36">
        <v>-3300</v>
      </c>
      <c r="N50" s="36">
        <v>12</v>
      </c>
      <c r="O50" s="62">
        <v>13.9</v>
      </c>
      <c r="V50" s="36"/>
      <c r="W50" s="36">
        <v>12</v>
      </c>
      <c r="X50" s="62">
        <v>9.7625000000000011</v>
      </c>
      <c r="Y50" s="64">
        <v>300</v>
      </c>
      <c r="Z50" s="36">
        <v>16</v>
      </c>
      <c r="AA50" s="62">
        <f>SUM(SMALL(Z50:Z61,{1,2,3,4,5,6}))/6</f>
        <v>15.566666666666668</v>
      </c>
      <c r="AE50" s="64"/>
      <c r="AF50" s="36">
        <v>8</v>
      </c>
      <c r="AG50" s="62">
        <f>SUM(SMALL(AF50:AF61,{1,2,3,4,5,6}))/6</f>
        <v>6.333333333333333</v>
      </c>
      <c r="AK50" s="64">
        <v>0</v>
      </c>
      <c r="AL50" s="36">
        <v>15</v>
      </c>
      <c r="AM50" s="62">
        <f>SUM(SMALL(AL50:AL61,{1,2,3,4,5,6}))/6</f>
        <v>10.166666666666666</v>
      </c>
      <c r="AQ50" s="36"/>
      <c r="AR50" s="36">
        <v>19</v>
      </c>
      <c r="AS50" s="62">
        <v>11.666666666666666</v>
      </c>
      <c r="AT50" s="64"/>
      <c r="AU50" s="36">
        <v>24</v>
      </c>
      <c r="AV50" s="62">
        <f>SUM(SMALL(AU50:AU61,{1,2,3,4,5,6}))/6</f>
        <v>13.404761904761905</v>
      </c>
      <c r="AZ50" s="11"/>
      <c r="BA50" s="11"/>
      <c r="BB50" s="10"/>
      <c r="BC50" s="36"/>
      <c r="BD50" s="36">
        <v>20</v>
      </c>
      <c r="BE50" s="62">
        <f>SUM(SMALL(BD50:BD61,{1,2,3,4,5,6}))/6</f>
        <v>13.083333333333334</v>
      </c>
    </row>
    <row r="51" spans="1:57" ht="12" customHeight="1" x14ac:dyDescent="0.25">
      <c r="A51" s="36">
        <v>-4000</v>
      </c>
      <c r="B51" s="36">
        <v>9</v>
      </c>
      <c r="C51" s="62">
        <f>SUM(SMALL(B51:B62,{1,2,3,4,5,6}))/6</f>
        <v>4.5</v>
      </c>
      <c r="D51" s="36"/>
      <c r="E51" s="36">
        <f>11</f>
        <v>11</v>
      </c>
      <c r="F51" s="62">
        <f>SUM(SMALL(E51:E62,{1,2,3,4,5,6}))/6</f>
        <v>10.683333333333332</v>
      </c>
      <c r="G51" s="36"/>
      <c r="H51" s="36">
        <v>2</v>
      </c>
      <c r="I51" s="62">
        <f>SUM(SMALL(H51:H62,{1,2,3,4,5,6}))/6</f>
        <v>3.1666666666666665</v>
      </c>
      <c r="J51" s="36">
        <v>2000</v>
      </c>
      <c r="K51" s="36">
        <v>17</v>
      </c>
      <c r="L51" s="62">
        <f>SUM(SMALL(K51:K62,{1,2,3,4,5,6}))/6</f>
        <v>9.5</v>
      </c>
      <c r="M51" s="36">
        <v>3000</v>
      </c>
      <c r="N51" s="36">
        <v>16</v>
      </c>
      <c r="O51" s="62">
        <v>14.566666666666668</v>
      </c>
      <c r="V51" s="36">
        <v>2200</v>
      </c>
      <c r="W51" s="36">
        <v>8</v>
      </c>
      <c r="X51" s="62">
        <v>9.4291666666666671</v>
      </c>
      <c r="Y51" s="64"/>
      <c r="Z51" s="36">
        <v>24</v>
      </c>
      <c r="AA51" s="62">
        <f>SUM(SMALL(Z51:Z62,{1,2,3,4,5,6}))/6</f>
        <v>15.566666666666668</v>
      </c>
      <c r="AE51" s="64"/>
      <c r="AF51" s="36">
        <f>20*0.8</f>
        <v>16</v>
      </c>
      <c r="AG51" s="62">
        <f>SUM(SMALL(AF51:AF62,{1,2,3,4,5,6}))/6</f>
        <v>4.833333333333333</v>
      </c>
      <c r="AK51" s="64"/>
      <c r="AL51" s="36">
        <v>9</v>
      </c>
      <c r="AM51" s="62">
        <f>SUM(SMALL(AL51:AL62,{1,2,3,4,5,6}))/6</f>
        <v>10.166666666666666</v>
      </c>
      <c r="AQ51" s="36">
        <v>1500</v>
      </c>
      <c r="AR51" s="36">
        <v>12</v>
      </c>
      <c r="AS51" s="62">
        <v>11.666666666666666</v>
      </c>
      <c r="AT51" s="64">
        <v>-3300</v>
      </c>
      <c r="AU51" s="36">
        <v>20</v>
      </c>
      <c r="AV51" s="62">
        <f>SUM(SMALL(AU51:AU62,{1,2,3,4,5,6}))/6</f>
        <v>13.404761904761905</v>
      </c>
      <c r="BC51" s="36"/>
      <c r="BD51" s="36">
        <v>14</v>
      </c>
      <c r="BE51" s="62">
        <f>SUM(SMALL(BD51:BD62,{1,2,3,4,5,6}))/6</f>
        <v>12.200000000000001</v>
      </c>
    </row>
    <row r="52" spans="1:57" ht="12" customHeight="1" x14ac:dyDescent="0.3">
      <c r="A52" s="36">
        <v>-1000</v>
      </c>
      <c r="B52" s="36">
        <f>9/14*18</f>
        <v>11.571428571428573</v>
      </c>
      <c r="C52" s="62">
        <f>SUM(SMALL(B52:B63,{1,2,3,4,5,6}))/6</f>
        <v>4</v>
      </c>
      <c r="D52" s="36">
        <v>-2000</v>
      </c>
      <c r="E52" s="36">
        <v>21</v>
      </c>
      <c r="F52" s="62">
        <f>SUM(SMALL(E52:E63,{1,2,3,4,5,6}))/6</f>
        <v>10.516666666666667</v>
      </c>
      <c r="G52" s="36"/>
      <c r="H52" s="36">
        <v>5</v>
      </c>
      <c r="I52" s="62">
        <f>SUM(SMALL(H52:H63,{1,2,3,4,5,6}))/6</f>
        <v>3.5</v>
      </c>
      <c r="J52" s="36"/>
      <c r="K52" s="36">
        <v>12</v>
      </c>
      <c r="L52" s="62">
        <f>SUM(SMALL(K52:K63,{1,2,3,4,5,6}))/6</f>
        <v>9.1666666666666661</v>
      </c>
      <c r="M52" s="36"/>
      <c r="N52" s="36">
        <v>15</v>
      </c>
      <c r="O52" s="62">
        <v>13.9</v>
      </c>
      <c r="V52" s="36"/>
      <c r="W52" s="38">
        <v>13</v>
      </c>
      <c r="X52" s="62">
        <v>10.262500000000001</v>
      </c>
      <c r="Y52" s="64">
        <v>-2400</v>
      </c>
      <c r="Z52" s="36">
        <v>19</v>
      </c>
      <c r="AA52" s="62">
        <f>SUM(SMALL(Z52:Z63,{1,2,3,4,5,6}))/6</f>
        <v>15.566666666666668</v>
      </c>
      <c r="AE52" s="64">
        <v>-2000</v>
      </c>
      <c r="AF52" s="36">
        <v>11</v>
      </c>
      <c r="AG52" s="62">
        <f>SUM(SMALL(AF52:AF63,{1,2,3,4,5,6}))/6</f>
        <v>4.833333333333333</v>
      </c>
      <c r="AK52" s="64"/>
      <c r="AL52" s="36">
        <v>12</v>
      </c>
      <c r="AM52" s="62">
        <f>SUM(SMALL(AL52:AL63,{1,2,3,4,5,6}))/6</f>
        <v>10.666666666666666</v>
      </c>
      <c r="AQ52" s="36">
        <v>1000</v>
      </c>
      <c r="AR52" s="36">
        <v>15</v>
      </c>
      <c r="AS52" s="62">
        <v>11.833333333333334</v>
      </c>
      <c r="AT52" s="64">
        <v>3300</v>
      </c>
      <c r="AU52" s="36">
        <v>9</v>
      </c>
      <c r="AV52" s="62">
        <f>SUM(SMALL(AU52:AU63,{1,2,3,4,5,6}))/6</f>
        <v>13.404761904761905</v>
      </c>
      <c r="BC52" s="36"/>
      <c r="BD52" s="36">
        <v>18</v>
      </c>
      <c r="BE52" s="62">
        <f>SUM(SMALL(BD52:BD63,{1,2,3,4,5,6}))/6</f>
        <v>12.25</v>
      </c>
    </row>
    <row r="53" spans="1:57" ht="12" customHeight="1" x14ac:dyDescent="0.3">
      <c r="A53" s="36">
        <v>-400</v>
      </c>
      <c r="B53" s="36">
        <v>12</v>
      </c>
      <c r="C53" s="62">
        <f>SUM(SMALL(B53:B64,{1,2,3,4,5,6}))/6</f>
        <v>3.8333333333333335</v>
      </c>
      <c r="D53" s="36"/>
      <c r="E53" s="36">
        <v>8</v>
      </c>
      <c r="F53" s="62">
        <f>SUM(SMALL(E53:E64,{1,2,3,4,5,6}))/6</f>
        <v>10.183333333333334</v>
      </c>
      <c r="G53" s="36"/>
      <c r="H53" s="36">
        <v>8</v>
      </c>
      <c r="I53" s="62">
        <f>SUM(SMALL(H53:H64,{1,2,3,4,5,6}))/6</f>
        <v>3.5</v>
      </c>
      <c r="J53" s="36">
        <v>-2000</v>
      </c>
      <c r="K53" s="36">
        <v>15</v>
      </c>
      <c r="L53" s="62">
        <f>SUM(SMALL(K53:K64,{1,2,3,4,5,6}))/6</f>
        <v>9.1666666666666661</v>
      </c>
      <c r="M53" s="36"/>
      <c r="N53" s="38">
        <v>20</v>
      </c>
      <c r="O53" s="62">
        <v>13.4</v>
      </c>
      <c r="Y53" s="64"/>
      <c r="Z53" s="36">
        <v>16</v>
      </c>
      <c r="AA53" s="62">
        <f>SUM(SMALL(Z53:Z64,{1,2,3,4,5,6}))/6</f>
        <v>15.233333333333334</v>
      </c>
      <c r="AE53" s="64">
        <v>-300</v>
      </c>
      <c r="AF53" s="36">
        <v>8</v>
      </c>
      <c r="AG53" s="62">
        <f>SUM(SMALL(AF53:AF64,{1,2,3,4,5,6}))/6</f>
        <v>4.833333333333333</v>
      </c>
      <c r="AK53" s="64"/>
      <c r="AL53" s="36">
        <v>7</v>
      </c>
      <c r="AM53" s="62">
        <f>SUM(SMALL(AL53:AL64,{1,2,3,4,5,6}))/6</f>
        <v>10.666666666666666</v>
      </c>
      <c r="AQ53" s="36"/>
      <c r="AR53" s="38">
        <f>23*0.8</f>
        <v>18.400000000000002</v>
      </c>
      <c r="AS53" s="62">
        <v>11.166666666666666</v>
      </c>
      <c r="AT53" s="64"/>
      <c r="AU53" s="36">
        <v>16</v>
      </c>
      <c r="AV53" s="62">
        <f>SUM(SMALL(AU53:AU64,{1,2,3,4,5,6}))/6</f>
        <v>14.571428571428571</v>
      </c>
      <c r="BC53" s="36">
        <v>-2100</v>
      </c>
      <c r="BD53" s="36">
        <v>13</v>
      </c>
      <c r="BE53" s="62">
        <f>SUM(SMALL(BD53:BD64,{1,2,3,4,5,6}))/6</f>
        <v>12.25</v>
      </c>
    </row>
    <row r="54" spans="1:57" ht="12" customHeight="1" x14ac:dyDescent="0.25">
      <c r="A54" s="36">
        <v>-1500</v>
      </c>
      <c r="B54" s="36">
        <v>9</v>
      </c>
      <c r="C54" s="62">
        <f>SUM(SMALL(B54:B65,{1,2,3,4,5,6}))/6</f>
        <v>3.5</v>
      </c>
      <c r="D54" s="36"/>
      <c r="E54" s="36">
        <f>16*1.1</f>
        <v>17.600000000000001</v>
      </c>
      <c r="F54" s="62">
        <f>SUM(SMALL(E54:E65,{1,2,3,4,5,6}))/6</f>
        <v>10.516666666666667</v>
      </c>
      <c r="G54" s="36"/>
      <c r="H54" s="36">
        <v>7</v>
      </c>
      <c r="I54" s="62">
        <v>1.8333333333333333</v>
      </c>
      <c r="J54" s="36">
        <v>1000</v>
      </c>
      <c r="K54" s="36">
        <v>18</v>
      </c>
      <c r="L54" s="62">
        <f>SUM(SMALL(K54:K65,{1,2,3,4,5,6}))/6</f>
        <v>9.1666666666666661</v>
      </c>
      <c r="M54" s="36"/>
      <c r="N54" s="36"/>
      <c r="O54" s="62"/>
      <c r="Y54" s="64"/>
      <c r="Z54" s="36">
        <v>17</v>
      </c>
      <c r="AA54" s="62">
        <f>SUM(SMALL(Z54:Z65,{1,2,3,4,5,6}))/6</f>
        <v>15.4</v>
      </c>
      <c r="AE54" s="64"/>
      <c r="AF54" s="36">
        <v>5</v>
      </c>
      <c r="AG54" s="62">
        <f>SUM(SMALL(AF54:AF65,{1,2,3,4,5,6}))/6</f>
        <v>4.666666666666667</v>
      </c>
      <c r="AK54" s="64">
        <v>4000</v>
      </c>
      <c r="AL54" s="36">
        <v>15</v>
      </c>
      <c r="AM54" s="62">
        <f>SUM(SMALL(AL54:AL65,{1,2,3,4,5,6}))/6</f>
        <v>11.833333333333334</v>
      </c>
      <c r="AQ54" s="36"/>
      <c r="AR54" s="36"/>
      <c r="AS54" s="62"/>
      <c r="AT54" s="64"/>
      <c r="AU54" s="36">
        <v>18</v>
      </c>
      <c r="AV54" s="62">
        <f>SUM(SMALL(AU54:AU65,{1,2,3,4,5,6}))/6</f>
        <v>14.904761904761905</v>
      </c>
      <c r="BC54" s="36">
        <v>-2000</v>
      </c>
      <c r="BD54" s="36">
        <v>14</v>
      </c>
      <c r="BE54" s="62">
        <f>SUM(SMALL(BD54:BD65,{1,2,3,4,5,6}))/6</f>
        <v>11.75</v>
      </c>
    </row>
    <row r="55" spans="1:57" ht="12" customHeight="1" x14ac:dyDescent="0.25">
      <c r="A55" s="36">
        <v>2100</v>
      </c>
      <c r="B55" s="36">
        <v>1</v>
      </c>
      <c r="C55" s="62">
        <f>SUM(SMALL(B55:B66,{1,2,3,4,5,6}))/6</f>
        <v>3.5</v>
      </c>
      <c r="D55" s="36">
        <v>-1500</v>
      </c>
      <c r="E55" s="36">
        <v>13</v>
      </c>
      <c r="F55" s="62">
        <f>SUM(SMALL(E55:E66,{1,2,3,4,5,6}))/6</f>
        <v>9.5</v>
      </c>
      <c r="G55" s="36">
        <v>1200</v>
      </c>
      <c r="H55" s="36">
        <v>5</v>
      </c>
      <c r="I55" s="62">
        <f>SUM(SMALL(H55:H66,{1,2,3,4,5,6}))/6</f>
        <v>2.8333333333333335</v>
      </c>
      <c r="J55" s="36">
        <v>1000</v>
      </c>
      <c r="K55" s="36">
        <v>7</v>
      </c>
      <c r="L55" s="62">
        <f>SUM(SMALL(K55:K66,{1,2,3,4,5,6}))/6</f>
        <v>9.1666666666666661</v>
      </c>
      <c r="M55" s="36"/>
      <c r="N55" s="36"/>
      <c r="O55" s="62"/>
      <c r="Y55" s="64">
        <v>-1800</v>
      </c>
      <c r="Z55" s="36">
        <v>15</v>
      </c>
      <c r="AA55" s="62">
        <f>SUM(SMALL(Z55:Z66,{1,2,3,4,5,6}))/6</f>
        <v>15.4</v>
      </c>
      <c r="AE55" s="64">
        <v>4000</v>
      </c>
      <c r="AF55" s="36">
        <v>8</v>
      </c>
      <c r="AG55" s="62">
        <f>SUM(SMALL(AF55:AF66,{1,2,3,4,5,6}))/6</f>
        <v>4.5</v>
      </c>
      <c r="AK55" s="61"/>
      <c r="AL55" s="36">
        <v>9</v>
      </c>
      <c r="AM55" s="62">
        <f>SUM(SMALL(AL55:AL66,{1,2,3,4,5,6}))/6</f>
        <v>11.666666666666666</v>
      </c>
      <c r="AQ55" s="36"/>
      <c r="AR55" s="36"/>
      <c r="AS55" s="62"/>
      <c r="AT55" s="64"/>
      <c r="AU55" s="36">
        <v>16</v>
      </c>
      <c r="AV55" s="62">
        <f>SUM(SMALL(AU55:AU66,{1,2,3,4,5,6}))/6</f>
        <v>14.904761904761905</v>
      </c>
      <c r="BC55" s="64"/>
      <c r="BD55" s="36">
        <v>16</v>
      </c>
      <c r="BE55" s="62">
        <f>SUM(SMALL(BD55:BD66,{1,2,3,4,5,6}))/6</f>
        <v>11.916666666666666</v>
      </c>
    </row>
    <row r="56" spans="1:57" ht="12" customHeight="1" x14ac:dyDescent="0.25">
      <c r="A56" s="36">
        <v>-900</v>
      </c>
      <c r="B56" s="36">
        <v>9</v>
      </c>
      <c r="C56" s="62">
        <f>SUM(SMALL(B56:B67,{1,2,3,4,5,6}))/6</f>
        <v>4</v>
      </c>
      <c r="D56" s="36"/>
      <c r="E56" s="36">
        <v>14</v>
      </c>
      <c r="F56" s="62">
        <f>SUM(SMALL(E56:E67,{1,2,3,4,5,6}))/6</f>
        <v>9.1666666666666661</v>
      </c>
      <c r="G56" s="36">
        <v>3000</v>
      </c>
      <c r="H56" s="36">
        <v>5</v>
      </c>
      <c r="I56" s="62">
        <v>1.8333333333333333</v>
      </c>
      <c r="J56" s="36"/>
      <c r="K56" s="36">
        <v>13</v>
      </c>
      <c r="L56" s="62">
        <f>SUM(SMALL(K56:K67,{1,2,3,4,5,6}))/6</f>
        <v>9.6666666666666661</v>
      </c>
      <c r="M56" s="36"/>
      <c r="N56" s="36"/>
      <c r="O56" s="62"/>
      <c r="Y56" s="61"/>
      <c r="Z56" s="36">
        <v>15</v>
      </c>
      <c r="AA56" s="62">
        <f>SUM(SMALL(Z56:Z67,{1,2,3,4,5,6}))/6</f>
        <v>15.733333333333334</v>
      </c>
      <c r="AE56" s="64"/>
      <c r="AF56" s="36">
        <v>6</v>
      </c>
      <c r="AG56" s="62">
        <f>SUM(SMALL(AF56:AF67,{1,2,3,4,5,6}))/6</f>
        <v>4.5</v>
      </c>
      <c r="AK56" s="61"/>
      <c r="AL56" s="36">
        <v>17</v>
      </c>
      <c r="AM56" s="62">
        <v>12</v>
      </c>
      <c r="AQ56" s="36"/>
      <c r="AR56" s="36"/>
      <c r="AS56" s="62"/>
      <c r="AT56" s="64"/>
      <c r="AU56" s="36">
        <v>16</v>
      </c>
      <c r="AV56" s="62">
        <f>SUM(SMALL(AU56:AU67,{1,2,3,4,5,6}))/6</f>
        <v>14.571428571428571</v>
      </c>
      <c r="BC56" s="64">
        <v>2100</v>
      </c>
      <c r="BD56" s="36">
        <f>14*0.8</f>
        <v>11.200000000000001</v>
      </c>
      <c r="BE56" s="62">
        <f>SUM(SMALL(BD56:BD67,{1,2,3,4,5,6}))/6</f>
        <v>11.583333333333334</v>
      </c>
    </row>
    <row r="57" spans="1:57" ht="12" customHeight="1" x14ac:dyDescent="0.25">
      <c r="A57" s="36">
        <v>4000</v>
      </c>
      <c r="B57" s="36">
        <v>4</v>
      </c>
      <c r="C57" s="62">
        <f>SUM(SMALL(B57:B68,{1,2,3,4,5,6}))/6</f>
        <v>3.5</v>
      </c>
      <c r="D57" s="36">
        <v>-300</v>
      </c>
      <c r="E57" s="36">
        <v>19</v>
      </c>
      <c r="F57" s="62">
        <f>SUM(SMALL(E57:E68,{1,2,3,4,5,6}))/6</f>
        <v>9.1666666666666661</v>
      </c>
      <c r="G57" s="36">
        <v>-2400</v>
      </c>
      <c r="H57" s="36">
        <v>8</v>
      </c>
      <c r="I57" s="62">
        <v>1.6666666666666667</v>
      </c>
      <c r="J57" s="36">
        <v>4000</v>
      </c>
      <c r="K57" s="36">
        <v>11</v>
      </c>
      <c r="L57" s="62">
        <f>SUM(SMALL(K57:K68,{1,2,3,4,5,6}))/6</f>
        <v>9</v>
      </c>
      <c r="M57" s="36"/>
      <c r="N57" s="36"/>
      <c r="O57" s="62"/>
      <c r="Y57" s="61"/>
      <c r="Z57" s="36">
        <v>17</v>
      </c>
      <c r="AA57" s="62">
        <f>SUM(SMALL(Z57:Z68,{1,2,3,4,5,6}))/6</f>
        <v>15.4</v>
      </c>
      <c r="AE57" s="64"/>
      <c r="AF57" s="36">
        <v>10</v>
      </c>
      <c r="AG57" s="62">
        <f>SUM(SMALL(AF57:AF68,{1,2,3,4,5,6}))/6</f>
        <v>4.333333333333333</v>
      </c>
      <c r="AK57" s="61"/>
      <c r="AL57" s="36">
        <v>15</v>
      </c>
      <c r="AM57" s="62">
        <v>12</v>
      </c>
      <c r="AQ57" s="36"/>
      <c r="AR57" s="36"/>
      <c r="AS57" s="62"/>
      <c r="AT57" s="64"/>
      <c r="AU57" s="36">
        <v>12</v>
      </c>
      <c r="AV57" s="62">
        <f>SUM(SMALL(AU57:AU68,{1,2,3,4,5,6}))/6</f>
        <v>14.571428571428571</v>
      </c>
      <c r="BC57" s="64">
        <v>-1200</v>
      </c>
      <c r="BD57" s="36">
        <v>15</v>
      </c>
      <c r="BE57" s="62">
        <f>SUM(SMALL(BD57:BD68,{1,2,3,4,5,6}))/6</f>
        <v>12.216666666666667</v>
      </c>
    </row>
    <row r="58" spans="1:57" ht="12" customHeight="1" x14ac:dyDescent="0.25">
      <c r="A58" s="36"/>
      <c r="B58" s="36">
        <v>6</v>
      </c>
      <c r="C58" s="62">
        <f>SUM(SMALL(B58:B69,{1,2,3,4,5,6}))/6</f>
        <v>3.6666666666666665</v>
      </c>
      <c r="D58" s="36">
        <v>400</v>
      </c>
      <c r="E58" s="36">
        <v>10</v>
      </c>
      <c r="F58" s="62">
        <f>SUM(SMALL(E58:E69,{1,2,3,4,5,6}))/6</f>
        <v>9.1666666666666661</v>
      </c>
      <c r="G58" s="36">
        <v>1500</v>
      </c>
      <c r="H58" s="36">
        <v>7</v>
      </c>
      <c r="I58" s="62">
        <v>1.6666666666666667</v>
      </c>
      <c r="J58" s="36">
        <v>2400</v>
      </c>
      <c r="K58" s="36">
        <v>8</v>
      </c>
      <c r="L58" s="62">
        <f>SUM(SMALL(K58:K69,{1,2,3,4,5,6}))/6</f>
        <v>9</v>
      </c>
      <c r="M58" s="36"/>
      <c r="N58" s="36"/>
      <c r="O58" s="62"/>
      <c r="Y58" s="61"/>
      <c r="Z58" s="36">
        <v>17</v>
      </c>
      <c r="AA58" s="62">
        <f>SUM(SMALL(Z58:Z69,{1,2,3,4,5,6}))/6</f>
        <v>14.9</v>
      </c>
      <c r="AE58" s="64">
        <v>600</v>
      </c>
      <c r="AF58" s="36">
        <v>8</v>
      </c>
      <c r="AG58" s="62">
        <f>SUM(SMALL(AF58:AF69,{1,2,3,4,5,6}))/6</f>
        <v>4.333333333333333</v>
      </c>
      <c r="AK58" s="36"/>
      <c r="AL58" s="36">
        <v>12</v>
      </c>
      <c r="AM58" s="62">
        <v>11.666666666666666</v>
      </c>
      <c r="AQ58" s="11"/>
      <c r="AR58" s="11"/>
      <c r="AS58" s="10"/>
      <c r="AT58" s="64"/>
      <c r="AU58" s="36">
        <f>12/14*18</f>
        <v>15.428571428571427</v>
      </c>
      <c r="AV58" s="62">
        <f>SUM(SMALL(AU58:AU69,{1,2,3,4,5,6}))/6</f>
        <v>15.738095238095239</v>
      </c>
      <c r="BC58" s="64">
        <v>-600</v>
      </c>
      <c r="BD58" s="36">
        <v>15</v>
      </c>
      <c r="BE58" s="62">
        <f>SUM(SMALL(BD58:BD69,{1,2,3,4,5,6}))/6</f>
        <v>11.383333333333333</v>
      </c>
    </row>
    <row r="59" spans="1:57" ht="12" customHeight="1" x14ac:dyDescent="0.25">
      <c r="A59" s="36"/>
      <c r="B59" s="36">
        <v>14</v>
      </c>
      <c r="C59" s="62">
        <f>SUM(SMALL(B59:B70,{1,2,3,4,5,6}))/6</f>
        <v>3.6666666666666665</v>
      </c>
      <c r="D59" s="36"/>
      <c r="E59" s="36">
        <f>11*1.1</f>
        <v>12.100000000000001</v>
      </c>
      <c r="F59" s="62">
        <f>SUM(SMALL(E59:E70,{1,2,3,4,5,6}))/6</f>
        <v>9.1666666666666661</v>
      </c>
      <c r="G59" s="36">
        <v>-1800</v>
      </c>
      <c r="H59" s="36">
        <v>5</v>
      </c>
      <c r="I59" s="62">
        <v>1.6666666666666667</v>
      </c>
      <c r="J59" s="36">
        <v>900</v>
      </c>
      <c r="K59" s="36">
        <v>15</v>
      </c>
      <c r="L59" s="62">
        <f>SUM(SMALL(K59:K70,{1,2,3,4,5,6}))/6</f>
        <v>9.8333333333333339</v>
      </c>
      <c r="M59" s="36"/>
      <c r="N59" s="36"/>
      <c r="O59" s="62"/>
      <c r="Y59" s="61"/>
      <c r="Z59" s="36">
        <v>17</v>
      </c>
      <c r="AA59" s="62">
        <v>14.566666666666668</v>
      </c>
      <c r="AE59" s="64"/>
      <c r="AF59" s="36">
        <v>6</v>
      </c>
      <c r="AG59" s="62">
        <f>SUM(SMALL(AF59:AF70,{1,2,3,4,5,6}))/6</f>
        <v>3.1666666666666665</v>
      </c>
      <c r="AK59" s="61"/>
      <c r="AL59" s="36">
        <v>12</v>
      </c>
      <c r="AM59" s="62">
        <v>11.666666666666666</v>
      </c>
      <c r="AQ59" s="11"/>
      <c r="AR59" s="11"/>
      <c r="AS59" s="10"/>
      <c r="AT59" s="64">
        <v>600</v>
      </c>
      <c r="AU59" s="36">
        <v>19</v>
      </c>
      <c r="AV59" s="62">
        <f>SUM(SMALL(AU59:AU70,{1,2,3,4,5,6}))/6</f>
        <v>15.666666666666666</v>
      </c>
      <c r="BC59" s="64">
        <v>-1000</v>
      </c>
      <c r="BD59" s="36">
        <v>24</v>
      </c>
      <c r="BE59" s="62">
        <f>SUM(SMALL(BD59:BD70,{1,2,3,4,5,6}))/6</f>
        <v>11.166666666666666</v>
      </c>
    </row>
    <row r="60" spans="1:57" ht="12" customHeight="1" x14ac:dyDescent="0.25">
      <c r="A60" s="36">
        <v>300</v>
      </c>
      <c r="B60" s="36">
        <v>4</v>
      </c>
      <c r="C60" s="62">
        <f>SUM(SMALL(B60:B71,{1,2,3,4,5,6}))/6</f>
        <v>3.6666666666666665</v>
      </c>
      <c r="D60" s="36"/>
      <c r="E60" s="36">
        <v>10</v>
      </c>
      <c r="F60" s="62">
        <f>SUM(SMALL(E60:E71,{1,2,3,4,5,6}))/6</f>
        <v>8.5</v>
      </c>
      <c r="G60" s="61"/>
      <c r="H60" s="36">
        <v>3</v>
      </c>
      <c r="I60" s="62">
        <v>1.6666666666666667</v>
      </c>
      <c r="J60" s="36"/>
      <c r="K60" s="36">
        <v>10</v>
      </c>
      <c r="L60" s="62">
        <f>SUM(SMALL(K60:K71,{1,2,3,4,5,6}))/6</f>
        <v>9.8333333333333339</v>
      </c>
      <c r="M60" s="36"/>
      <c r="N60" s="36"/>
      <c r="O60" s="62"/>
      <c r="Y60" s="61"/>
      <c r="Z60" s="36">
        <v>20</v>
      </c>
      <c r="AA60" s="62">
        <v>14.566666666666668</v>
      </c>
      <c r="AE60" s="64"/>
      <c r="AF60" s="36">
        <v>5</v>
      </c>
      <c r="AG60" s="62">
        <f>SUM(SMALL(AF60:AF71,{1,2,3,4,5,6}))/6</f>
        <v>3.3333333333333335</v>
      </c>
      <c r="AK60" s="36"/>
      <c r="AL60" s="36">
        <v>12</v>
      </c>
      <c r="AM60" s="62">
        <v>11.833333333333334</v>
      </c>
      <c r="AQ60" s="11"/>
      <c r="AR60" s="11"/>
      <c r="AS60" s="10"/>
      <c r="AT60" s="64">
        <v>-600</v>
      </c>
      <c r="AU60" s="36">
        <v>12</v>
      </c>
      <c r="AV60" s="62">
        <f>SUM(SMALL(AU60:AU71,{1,2,3,4,5,6}))/6</f>
        <v>15.666666666666666</v>
      </c>
      <c r="BC60" s="64"/>
      <c r="BD60" s="36">
        <f>13*1.1</f>
        <v>14.3</v>
      </c>
      <c r="BE60" s="62">
        <f>SUM(SMALL(BD60:BD71,{1,2,3,4,5,6}))/6</f>
        <v>10.666666666666666</v>
      </c>
    </row>
    <row r="61" spans="1:57" ht="12" customHeight="1" x14ac:dyDescent="0.25">
      <c r="A61" s="36">
        <v>-300</v>
      </c>
      <c r="B61" s="36">
        <v>9</v>
      </c>
      <c r="C61" s="62">
        <f>SUM(SMALL(B61:B72,{1,2,3,4,5,6}))/6</f>
        <v>4</v>
      </c>
      <c r="D61" s="36">
        <v>1800</v>
      </c>
      <c r="E61" s="36">
        <v>19</v>
      </c>
      <c r="F61" s="62">
        <f>SUM(SMALL(E61:E72,{1,2,3,4,5,6}))/6</f>
        <v>8</v>
      </c>
      <c r="G61" s="36">
        <v>-3000</v>
      </c>
      <c r="H61" s="36">
        <v>8</v>
      </c>
      <c r="I61" s="62">
        <v>1.8333333333333333</v>
      </c>
      <c r="J61" s="36">
        <v>2000</v>
      </c>
      <c r="K61" s="36">
        <v>9</v>
      </c>
      <c r="L61" s="62">
        <f>SUM(SMALL(K61:K72,{1,2,3,4,5,6}))/6</f>
        <v>10.166666666666666</v>
      </c>
      <c r="M61" s="11"/>
      <c r="N61" s="11"/>
      <c r="O61" s="10"/>
      <c r="Y61" s="36"/>
      <c r="Z61" s="36">
        <f>18*0.8</f>
        <v>14.4</v>
      </c>
      <c r="AA61" s="62">
        <v>14.566666666666668</v>
      </c>
      <c r="AE61" s="64"/>
      <c r="AF61" s="36">
        <v>8</v>
      </c>
      <c r="AG61" s="62">
        <f>SUM(SMALL(AF61:AF72,{1,2,3,4,5,6}))/6</f>
        <v>2.9285714285714288</v>
      </c>
      <c r="AK61" s="61"/>
      <c r="AL61" s="36">
        <v>17</v>
      </c>
      <c r="AM61" s="62">
        <v>11.5</v>
      </c>
      <c r="AQ61" s="11"/>
      <c r="AR61" s="11"/>
      <c r="AS61" s="10"/>
      <c r="AT61" s="64"/>
      <c r="AU61" s="36">
        <v>20</v>
      </c>
      <c r="AV61" s="62">
        <f>SUM(SMALL(AU61:AU72,{1,2,3,4,5,6}))/6</f>
        <v>17</v>
      </c>
      <c r="BC61" s="64">
        <v>-650</v>
      </c>
      <c r="BD61" s="36">
        <v>12</v>
      </c>
      <c r="BE61" s="62">
        <f>SUM(SMALL(BD61:BD72,{1,2,3,4,5,6}))/6</f>
        <v>10.5</v>
      </c>
    </row>
    <row r="62" spans="1:57" ht="12" customHeight="1" x14ac:dyDescent="0.25">
      <c r="A62" s="36"/>
      <c r="B62" s="36">
        <v>3</v>
      </c>
      <c r="C62" s="62">
        <f>SUM(SMALL(B62:B73,{1,2,3,4,5,6}))/6</f>
        <v>3.8333333333333335</v>
      </c>
      <c r="D62" s="36">
        <v>900</v>
      </c>
      <c r="E62" s="36">
        <v>16</v>
      </c>
      <c r="F62" s="62">
        <f>SUM(SMALL(E62:E73,{1,2,3,4,5,6}))/6</f>
        <v>8</v>
      </c>
      <c r="G62" s="36">
        <v>900</v>
      </c>
      <c r="H62" s="63">
        <v>-1</v>
      </c>
      <c r="I62" s="62">
        <v>1.8333333333333333</v>
      </c>
      <c r="J62" s="36"/>
      <c r="K62" s="36">
        <v>15</v>
      </c>
      <c r="L62" s="62">
        <f>SUM(SMALL(K62:K73,{1,2,3,4,5,6}))/6</f>
        <v>10.833333333333334</v>
      </c>
      <c r="M62" s="11"/>
      <c r="N62" s="11"/>
      <c r="O62" s="10"/>
      <c r="Y62" s="36">
        <v>3000</v>
      </c>
      <c r="Z62" s="36">
        <f>20*0.8</f>
        <v>16</v>
      </c>
      <c r="AA62" s="62">
        <v>14.833333333333334</v>
      </c>
      <c r="AE62" s="64">
        <v>4000</v>
      </c>
      <c r="AF62" s="63">
        <v>-1</v>
      </c>
      <c r="AG62" s="62">
        <f>SUM(SMALL(AF62:AF73,{1,2,3,4,5,6}))/6</f>
        <v>2.9285714285714288</v>
      </c>
      <c r="AK62" s="36">
        <v>-3000</v>
      </c>
      <c r="AL62" s="36">
        <f>15*0.8</f>
        <v>12</v>
      </c>
      <c r="AM62" s="62">
        <v>11.5</v>
      </c>
      <c r="AQ62" s="11"/>
      <c r="AR62" s="11"/>
      <c r="AS62" s="10"/>
      <c r="AT62" s="64"/>
      <c r="AU62" s="36">
        <v>22</v>
      </c>
      <c r="AV62" s="62">
        <f>SUM(SMALL(AU62:AU73,{1,2,3,4,5,6}))/6</f>
        <v>17</v>
      </c>
      <c r="BC62" s="64">
        <v>-2400</v>
      </c>
      <c r="BD62" s="36">
        <v>9</v>
      </c>
      <c r="BE62" s="62">
        <f>SUM(SMALL(BD62:BD73,{1,2,3,4,5,6}))/6</f>
        <v>9.6666666666666661</v>
      </c>
    </row>
    <row r="63" spans="1:57" ht="12" customHeight="1" x14ac:dyDescent="0.25">
      <c r="A63" s="36"/>
      <c r="B63" s="36">
        <v>6</v>
      </c>
      <c r="C63" s="62">
        <f>SUM(SMALL(B63:B74,{1,2,3,4,5,6}))/6</f>
        <v>4.333333333333333</v>
      </c>
      <c r="D63" s="36">
        <v>-600</v>
      </c>
      <c r="E63" s="36">
        <v>10</v>
      </c>
      <c r="F63" s="62">
        <f>SUM(SMALL(E63:E74,{1,2,3,4,5,6}))/6</f>
        <v>7.833333333333333</v>
      </c>
      <c r="G63" s="36">
        <v>3300</v>
      </c>
      <c r="H63" s="36">
        <v>4</v>
      </c>
      <c r="I63" s="62">
        <v>2.6666666666666665</v>
      </c>
      <c r="J63" s="36">
        <v>1000</v>
      </c>
      <c r="K63" s="36">
        <v>10</v>
      </c>
      <c r="L63" s="62">
        <f>SUM(SMALL(K63:K74,{1,2,3,4,5,6}))/6</f>
        <v>10.666666666666666</v>
      </c>
      <c r="M63" s="11"/>
      <c r="N63" s="11"/>
      <c r="O63" s="10"/>
      <c r="Y63" s="36">
        <v>-900</v>
      </c>
      <c r="Z63" s="36">
        <f>27*0.8</f>
        <v>21.6</v>
      </c>
      <c r="AA63" s="62">
        <v>14.833333333333334</v>
      </c>
      <c r="AE63" s="64">
        <v>300</v>
      </c>
      <c r="AF63" s="36">
        <v>11</v>
      </c>
      <c r="AG63" s="62">
        <f>SUM(SMALL(AF63:AF74,{1,2,3,4,5,6}))/6</f>
        <v>4.4285714285714288</v>
      </c>
      <c r="AK63" s="36">
        <v>3000</v>
      </c>
      <c r="AL63" s="36">
        <v>17</v>
      </c>
      <c r="AM63" s="62">
        <v>11.666666666666666</v>
      </c>
      <c r="AQ63" s="11"/>
      <c r="AR63" s="11"/>
      <c r="AS63" s="10"/>
      <c r="AT63" s="64"/>
      <c r="AU63" s="36">
        <v>21</v>
      </c>
      <c r="AV63" s="62">
        <f>SUM(SMALL(AU63:AU74,{1,2,3,4,5,6}))/6</f>
        <v>17</v>
      </c>
      <c r="BC63" s="64"/>
      <c r="BD63" s="36">
        <v>15</v>
      </c>
      <c r="BE63" s="62">
        <f>SUM(SMALL(BD63:BD74,{1,2,3,4,5,6}))/6</f>
        <v>10.333333333333334</v>
      </c>
    </row>
    <row r="64" spans="1:57" ht="12" customHeight="1" x14ac:dyDescent="0.25">
      <c r="A64" s="61"/>
      <c r="B64" s="36">
        <v>5</v>
      </c>
      <c r="C64" s="62">
        <f>SUM(SMALL(B64:B75,{1,2,3,4,5,6}))/6</f>
        <v>4.333333333333333</v>
      </c>
      <c r="D64" s="36">
        <v>-600</v>
      </c>
      <c r="E64" s="36">
        <v>11</v>
      </c>
      <c r="F64" s="62">
        <f>SUM(SMALL(E64:E75,{1,2,3,4,5,6}))/6</f>
        <v>7.833333333333333</v>
      </c>
      <c r="G64" s="36"/>
      <c r="H64" s="36">
        <v>5</v>
      </c>
      <c r="I64" s="62">
        <v>2.6666666666666665</v>
      </c>
      <c r="J64" s="36">
        <v>-1800</v>
      </c>
      <c r="K64" s="36">
        <v>13</v>
      </c>
      <c r="L64" s="62">
        <f>SUM(SMALL(K64:K75,{1,2,3,4,5,6}))/6</f>
        <v>10.333333333333334</v>
      </c>
      <c r="M64" s="11"/>
      <c r="N64" s="11"/>
      <c r="O64" s="10"/>
      <c r="Y64" s="36">
        <v>500</v>
      </c>
      <c r="Z64" s="36">
        <v>15</v>
      </c>
      <c r="AA64" s="62">
        <v>14.833333333333334</v>
      </c>
      <c r="AE64" s="64"/>
      <c r="AF64" s="36">
        <v>8</v>
      </c>
      <c r="AG64" s="62">
        <f>SUM(SMALL(AF64:AF75,{1,2,3,4,5,6}))/6</f>
        <v>4.4285714285714288</v>
      </c>
      <c r="AK64" s="36"/>
      <c r="AL64" s="36">
        <v>15</v>
      </c>
      <c r="AM64" s="62">
        <v>11.666666666666666</v>
      </c>
      <c r="AQ64" s="11"/>
      <c r="AR64" s="11"/>
      <c r="AS64" s="10"/>
      <c r="AT64" s="64"/>
      <c r="AU64" s="36">
        <f>20*1.1</f>
        <v>22</v>
      </c>
      <c r="AV64" s="62">
        <f>SUM(SMALL(AU64:AU75,{1,2,3,4,5,6}))/6</f>
        <v>16.166666666666668</v>
      </c>
      <c r="BC64" s="64">
        <v>600</v>
      </c>
      <c r="BD64" s="36">
        <v>15</v>
      </c>
      <c r="BE64" s="62">
        <f>SUM(SMALL(BD64:BD75,{1,2,3,4,5,6}))/6</f>
        <v>10.333333333333334</v>
      </c>
    </row>
    <row r="65" spans="1:59" ht="12" customHeight="1" x14ac:dyDescent="0.25">
      <c r="A65" s="36">
        <v>300</v>
      </c>
      <c r="B65" s="36">
        <v>4</v>
      </c>
      <c r="C65" s="62">
        <f>SUM(SMALL(B65:B76,{1,2,3,4,5,6}))/6</f>
        <v>4.333333333333333</v>
      </c>
      <c r="D65" s="36">
        <v>-2700</v>
      </c>
      <c r="E65" s="36">
        <v>10</v>
      </c>
      <c r="F65" s="62">
        <f>SUM(SMALL(E65:E76,{1,2,3,4,5,6}))/6</f>
        <v>7.833333333333333</v>
      </c>
      <c r="G65" s="36"/>
      <c r="H65" s="36">
        <v>6</v>
      </c>
      <c r="I65" s="62">
        <v>2.6666666666666665</v>
      </c>
      <c r="J65" s="36"/>
      <c r="K65" s="36">
        <v>13</v>
      </c>
      <c r="L65" s="62">
        <f>SUM(SMALL(K65:K76,{1,2,3,4,5,6}))/6</f>
        <v>10.333333333333334</v>
      </c>
      <c r="M65" s="11"/>
      <c r="N65" s="11"/>
      <c r="O65" s="10"/>
      <c r="Y65" s="36">
        <v>-3300</v>
      </c>
      <c r="Z65" s="36">
        <v>18</v>
      </c>
      <c r="AA65" s="62">
        <v>15.166666666666666</v>
      </c>
      <c r="AE65" s="64"/>
      <c r="AF65" s="36">
        <v>7</v>
      </c>
      <c r="AG65" s="62">
        <f>SUM(SMALL(AF65:AF76,{1,2,3,4,5,6}))/6</f>
        <v>4.2619047619047619</v>
      </c>
      <c r="AK65" s="36"/>
      <c r="AL65" s="36">
        <v>14</v>
      </c>
      <c r="AM65" s="62">
        <v>11.666666666666666</v>
      </c>
      <c r="AQ65" s="11"/>
      <c r="AR65" s="11"/>
      <c r="AS65" s="10"/>
      <c r="AT65" s="64"/>
      <c r="AU65" s="36">
        <v>20</v>
      </c>
      <c r="AV65" s="62">
        <f>SUM(SMALL(AU65:AU76,{1,2,3,4,5,6}))/6</f>
        <v>16.166666666666668</v>
      </c>
      <c r="BC65" s="64"/>
      <c r="BD65" s="36">
        <v>10</v>
      </c>
      <c r="BE65" s="62">
        <f>SUM(SMALL(BD65:BD76,{1,2,3,4,5,6}))/6</f>
        <v>10.166666666666666</v>
      </c>
    </row>
    <row r="66" spans="1:59" ht="12" customHeight="1" x14ac:dyDescent="0.3">
      <c r="A66" s="61"/>
      <c r="B66" s="36">
        <v>6</v>
      </c>
      <c r="C66" s="62">
        <f>SUM(SMALL(B66:B77,{1,2,3,4,5,6}))/6</f>
        <v>4.833333333333333</v>
      </c>
      <c r="D66" s="36">
        <v>900</v>
      </c>
      <c r="E66" s="36">
        <v>6</v>
      </c>
      <c r="F66" s="62">
        <f>SUM(SMALL(E66:E77,{1,2,3,4,5,6}))/6</f>
        <v>7.833333333333333</v>
      </c>
      <c r="G66" s="36"/>
      <c r="H66" s="38">
        <v>1</v>
      </c>
      <c r="I66" s="62">
        <v>2.1666666666666665</v>
      </c>
      <c r="J66" s="36"/>
      <c r="K66" s="36">
        <v>19</v>
      </c>
      <c r="L66" s="62">
        <f>SUM(SMALL(K66:K77,{1,2,3,4,5,6}))/6</f>
        <v>9.8333333333333339</v>
      </c>
      <c r="Y66" s="36"/>
      <c r="Z66" s="36">
        <v>21</v>
      </c>
      <c r="AA66" s="62">
        <v>15.166666666666666</v>
      </c>
      <c r="AE66" s="64"/>
      <c r="AF66" s="36">
        <v>4</v>
      </c>
      <c r="AG66" s="62">
        <f>SUM(SMALL(AF66:AF77,{1,2,3,4,5,6}))/6</f>
        <v>4.4285714285714288</v>
      </c>
      <c r="AK66" s="36"/>
      <c r="AL66" s="38">
        <v>13</v>
      </c>
      <c r="AM66" s="62">
        <v>11.666666666666666</v>
      </c>
      <c r="AQ66" s="11"/>
      <c r="AR66" s="37"/>
      <c r="AS66" s="10"/>
      <c r="AT66" s="64"/>
      <c r="AU66" s="36">
        <v>18</v>
      </c>
      <c r="AV66" s="62">
        <f>SUM(SMALL(AU66:AU77,{1,2,3,4,5,6}))/6</f>
        <v>16.166666666666668</v>
      </c>
      <c r="BC66" s="64">
        <v>-2000</v>
      </c>
      <c r="BD66" s="36">
        <v>20</v>
      </c>
      <c r="BE66" s="62">
        <f>SUM(SMALL(BD66:BD77,{1,2,3,4,5,6}))/6</f>
        <v>10.666666666666666</v>
      </c>
      <c r="BG66" s="13"/>
    </row>
    <row r="67" spans="1:59" ht="12" customHeight="1" x14ac:dyDescent="0.25">
      <c r="A67" s="61"/>
      <c r="B67" s="36">
        <v>4</v>
      </c>
      <c r="C67" s="62">
        <f>SUM(SMALL(B67:B78,{1,2,3,4,5,6}))/6</f>
        <v>5.166666666666667</v>
      </c>
      <c r="D67" s="36">
        <v>-300</v>
      </c>
      <c r="E67" s="36">
        <v>9</v>
      </c>
      <c r="F67" s="62">
        <f>SUM(SMALL(E67:E78,{1,2,3,4,5,6}))/6</f>
        <v>8.5</v>
      </c>
      <c r="G67" s="36"/>
      <c r="H67" s="36"/>
      <c r="I67" s="62"/>
      <c r="J67" s="36"/>
      <c r="K67" s="36">
        <v>10</v>
      </c>
      <c r="L67" s="62">
        <f>SUM(SMALL(K67:K78,{1,2,3,4,5,6}))/6</f>
        <v>9.8333333333333339</v>
      </c>
      <c r="Y67" s="36">
        <v>2200</v>
      </c>
      <c r="Z67" s="36">
        <v>18</v>
      </c>
      <c r="AA67" s="62">
        <v>15</v>
      </c>
      <c r="AE67" s="64">
        <v>-4000</v>
      </c>
      <c r="AF67" s="36">
        <v>11</v>
      </c>
      <c r="AG67" s="62">
        <f>SUM(SMALL(AF67:AF78,{1,2,3,4,5,6}))/6</f>
        <v>5.0952380952380958</v>
      </c>
      <c r="AK67" s="36"/>
      <c r="AL67" s="36"/>
      <c r="AM67" s="62"/>
      <c r="AO67" s="13"/>
      <c r="AQ67" s="11"/>
      <c r="AR67" s="11"/>
      <c r="AS67" s="10"/>
      <c r="AT67" s="64"/>
      <c r="AU67" s="36">
        <v>14</v>
      </c>
      <c r="AV67" s="62">
        <f>SUM(SMALL(AU67:AU78,{1,2,3,4,5,6}))/6</f>
        <v>15.833333333333334</v>
      </c>
      <c r="BC67" s="64"/>
      <c r="BD67" s="36">
        <v>13</v>
      </c>
      <c r="BE67" s="62">
        <f>SUM(SMALL(BD67:BD78,{1,2,3,4,5,6}))/6</f>
        <v>10.333333333333334</v>
      </c>
    </row>
    <row r="68" spans="1:59" ht="12" customHeight="1" x14ac:dyDescent="0.25">
      <c r="A68" s="36"/>
      <c r="B68" s="36">
        <v>2</v>
      </c>
      <c r="C68" s="62">
        <v>6</v>
      </c>
      <c r="D68" s="36">
        <v>300</v>
      </c>
      <c r="E68" s="36">
        <v>10</v>
      </c>
      <c r="F68" s="62">
        <f>SUM(SMALL(E68:E79,{1,2,3,4,5,6}))/6</f>
        <v>8.6666666666666661</v>
      </c>
      <c r="G68" s="36"/>
      <c r="H68" s="36"/>
      <c r="I68" s="62"/>
      <c r="J68" s="36"/>
      <c r="K68" s="36">
        <v>7</v>
      </c>
      <c r="L68" s="62">
        <f>SUM(SMALL(K68:K79,{1,2,3,4,5,6}))/6</f>
        <v>10.333333333333334</v>
      </c>
      <c r="Y68" s="36">
        <v>2000</v>
      </c>
      <c r="Z68" s="36">
        <v>13</v>
      </c>
      <c r="AA68" s="62">
        <v>15</v>
      </c>
      <c r="AE68" s="64"/>
      <c r="AF68" s="36">
        <v>5</v>
      </c>
      <c r="AG68" s="62">
        <f>SUM(SMALL(AF68:AF79,{1,2,3,4,5,6}))/6</f>
        <v>5.0952380952380958</v>
      </c>
      <c r="AK68" s="11"/>
      <c r="AL68" s="11"/>
      <c r="AM68" s="10"/>
      <c r="AT68" s="64"/>
      <c r="AU68" s="36">
        <v>16</v>
      </c>
      <c r="AV68" s="62">
        <f>SUM(SMALL(AU68:AU79,{1,2,3,4,5,6}))/6</f>
        <v>16.166666666666668</v>
      </c>
      <c r="BC68" s="64"/>
      <c r="BD68" s="36">
        <v>16</v>
      </c>
      <c r="BE68" s="62">
        <f>SUM(SMALL(BD68:BD79,{1,2,3,4,5,6}))/6</f>
        <v>10.333333333333334</v>
      </c>
    </row>
    <row r="69" spans="1:59" ht="12" customHeight="1" x14ac:dyDescent="0.3">
      <c r="A69" s="61"/>
      <c r="B69" s="36">
        <v>11</v>
      </c>
      <c r="C69" s="62">
        <v>7.166666666666667</v>
      </c>
      <c r="D69" s="36"/>
      <c r="E69" s="36">
        <v>15</v>
      </c>
      <c r="F69" s="62">
        <f>SUM(SMALL(E69:E80,{1,2,3,4,5,6}))/6</f>
        <v>8.6666666666666661</v>
      </c>
      <c r="G69" s="36"/>
      <c r="H69" s="36"/>
      <c r="I69" s="62"/>
      <c r="J69" s="36">
        <v>-1800</v>
      </c>
      <c r="K69" s="36">
        <v>16</v>
      </c>
      <c r="L69" s="62">
        <f>SUM(SMALL(K69:K80,{1,2,3,4,5,6}))/6</f>
        <v>10</v>
      </c>
      <c r="Y69" s="36"/>
      <c r="Z69" s="38">
        <v>14</v>
      </c>
      <c r="AA69" s="62">
        <v>15.5</v>
      </c>
      <c r="AE69" s="64">
        <v>-1800</v>
      </c>
      <c r="AF69" s="36">
        <v>12</v>
      </c>
      <c r="AG69" s="62">
        <f>SUM(SMALL(AF69:AF80,{1,2,3,4,5,6}))/6</f>
        <v>5.5952380952380949</v>
      </c>
      <c r="AK69" s="11"/>
      <c r="AL69" s="11"/>
      <c r="AM69" s="10"/>
      <c r="AT69" s="64">
        <v>-900</v>
      </c>
      <c r="AU69" s="36">
        <v>23</v>
      </c>
      <c r="AV69" s="62">
        <f>SUM(SMALL(AU69:AU80,{1,2,3,4,5,6}))/6</f>
        <v>14.833333333333334</v>
      </c>
      <c r="BC69" s="64">
        <v>3300</v>
      </c>
      <c r="BD69" s="36">
        <v>10</v>
      </c>
      <c r="BE69" s="62">
        <f>SUM(SMALL(BD69:BD80,{1,2,3,4,5,6}))/6</f>
        <v>10.333333333333334</v>
      </c>
    </row>
    <row r="70" spans="1:59" ht="12" customHeight="1" x14ac:dyDescent="0.25">
      <c r="A70" s="36"/>
      <c r="B70" s="36">
        <v>9</v>
      </c>
      <c r="C70" s="62">
        <v>7.166666666666667</v>
      </c>
      <c r="D70" s="36"/>
      <c r="E70" s="36">
        <v>11</v>
      </c>
      <c r="F70" s="62">
        <f>SUM(SMALL(E70:E81,{1,2,3,4,5,6}))/6</f>
        <v>8.6666666666666661</v>
      </c>
      <c r="G70" s="11"/>
      <c r="H70" s="11"/>
      <c r="I70" s="10"/>
      <c r="J70" s="36"/>
      <c r="K70" s="36">
        <v>13</v>
      </c>
      <c r="L70" s="62">
        <f>SUM(SMALL(K70:K81,{1,2,3,4,5,6}))/6</f>
        <v>8.6666666666666661</v>
      </c>
      <c r="Y70" s="11"/>
      <c r="Z70" s="11"/>
      <c r="AA70" s="10"/>
      <c r="AE70" s="64"/>
      <c r="AF70" s="65">
        <v>0</v>
      </c>
      <c r="AG70" s="62">
        <f>SUM(SMALL(AF70:AF81,{1,2,3,4,5,6}))/6</f>
        <v>5.2619047619047619</v>
      </c>
      <c r="AI70" s="13"/>
      <c r="AK70" s="11"/>
      <c r="AL70" s="11"/>
      <c r="AM70" s="10"/>
      <c r="AT70" s="64">
        <v>-600</v>
      </c>
      <c r="AU70" s="36">
        <v>15</v>
      </c>
      <c r="AV70" s="62">
        <f>SUM(SMALL(AU70:AU81,{1,2,3,4,5,6}))/6</f>
        <v>13.666666666666666</v>
      </c>
      <c r="BC70" s="64">
        <v>-3000</v>
      </c>
      <c r="BD70" s="36">
        <v>13</v>
      </c>
      <c r="BE70" s="62">
        <f>SUM(SMALL(BD70:BD81,{1,2,3,4,5,6}))/6</f>
        <v>10.833333333333334</v>
      </c>
    </row>
    <row r="71" spans="1:59" ht="12" customHeight="1" x14ac:dyDescent="0.25">
      <c r="A71" s="36">
        <v>300</v>
      </c>
      <c r="B71" s="36">
        <f>11*1.2</f>
        <v>13.2</v>
      </c>
      <c r="C71" s="62">
        <v>7.166666666666667</v>
      </c>
      <c r="D71" s="36">
        <v>600</v>
      </c>
      <c r="E71" s="36">
        <v>6</v>
      </c>
      <c r="F71" s="62">
        <f>SUM(SMALL(E71:E82,{1,2,3,4,5,6}))/6</f>
        <v>8.6666666666666661</v>
      </c>
      <c r="G71" s="11"/>
      <c r="H71" s="11"/>
      <c r="I71" s="10"/>
      <c r="J71" s="36">
        <v>-4000</v>
      </c>
      <c r="K71" s="36">
        <v>16</v>
      </c>
      <c r="L71" s="62">
        <f>SUM(SMALL(K71:K82,{1,2,3,4,5,6}))/6</f>
        <v>7.833333333333333</v>
      </c>
      <c r="AE71" s="64">
        <v>-1500</v>
      </c>
      <c r="AF71" s="36">
        <v>11</v>
      </c>
      <c r="AG71" s="62">
        <f>SUM(SMALL(AF71:AF82,{1,2,3,4,5,6}))/6</f>
        <v>6.5952380952380949</v>
      </c>
      <c r="AK71" s="11"/>
      <c r="AL71" s="11"/>
      <c r="AM71" s="10"/>
      <c r="AT71" s="64"/>
      <c r="AU71" s="36">
        <v>19</v>
      </c>
      <c r="AV71" s="62">
        <f>SUM(SMALL(AU71:AU82,{1,2,3,4,5,6}))/6</f>
        <v>14</v>
      </c>
      <c r="BC71" s="64">
        <v>1800</v>
      </c>
      <c r="BD71" s="36">
        <v>10</v>
      </c>
      <c r="BE71" s="62">
        <f>SUM(SMALL(BD71:BD82,{1,2,3,4,5,6}))/6</f>
        <v>10.333333333333334</v>
      </c>
    </row>
    <row r="72" spans="1:59" ht="12" customHeight="1" x14ac:dyDescent="0.25">
      <c r="A72" s="36">
        <v>-1800</v>
      </c>
      <c r="B72" s="36">
        <v>9</v>
      </c>
      <c r="C72" s="62">
        <v>6.833333333333333</v>
      </c>
      <c r="D72" s="36"/>
      <c r="E72" s="36">
        <v>7</v>
      </c>
      <c r="F72" s="62">
        <f>SUM(SMALL(E72:E83,{1,2,3,4,5,6}))/6</f>
        <v>9</v>
      </c>
      <c r="G72" s="11"/>
      <c r="H72" s="11"/>
      <c r="I72" s="10"/>
      <c r="J72" s="36"/>
      <c r="K72" s="36">
        <v>12</v>
      </c>
      <c r="L72" s="62">
        <f>SUM(SMALL(K72:K83,{1,2,3,4,5,6}))/6</f>
        <v>7.7</v>
      </c>
      <c r="AE72" s="64"/>
      <c r="AF72" s="36">
        <f>0.142857142857143*18</f>
        <v>2.5714285714285738</v>
      </c>
      <c r="AG72" s="62">
        <f>SUM(SMALL(AF72:AF83,{1,2,3,4,5,6}))/6</f>
        <v>6.5952380952380949</v>
      </c>
      <c r="AK72" s="11"/>
      <c r="AL72" s="11"/>
      <c r="AM72" s="10"/>
      <c r="AT72" s="64"/>
      <c r="AU72" s="36">
        <v>22</v>
      </c>
      <c r="AV72" s="62">
        <f>SUM(SMALL(AU72:AU83,{1,2,3,4,5,6}))/6</f>
        <v>13.5</v>
      </c>
      <c r="BC72" s="64"/>
      <c r="BD72" s="36">
        <v>12</v>
      </c>
      <c r="BE72" s="62">
        <f>SUM(SMALL(BD72:BD83,{1,2,3,4,5,6}))/6</f>
        <v>10.833333333333334</v>
      </c>
    </row>
    <row r="73" spans="1:59" ht="12" customHeight="1" x14ac:dyDescent="0.3">
      <c r="A73" s="36"/>
      <c r="B73" s="36">
        <v>5</v>
      </c>
      <c r="C73" s="62">
        <v>6.833333333333333</v>
      </c>
      <c r="D73" s="36">
        <v>-300</v>
      </c>
      <c r="E73" s="36">
        <v>11</v>
      </c>
      <c r="F73" s="62">
        <f>SUM(SMALL(E73:E84,{1,2,3,4,5,6}))/6</f>
        <v>9</v>
      </c>
      <c r="G73" s="11"/>
      <c r="H73" s="11"/>
      <c r="I73" s="10"/>
      <c r="J73" s="36"/>
      <c r="K73" s="36">
        <v>14</v>
      </c>
      <c r="L73" s="62">
        <f>SUM(SMALL(K73:K84,{1,2,3,4,5,6}))/6</f>
        <v>7.7</v>
      </c>
      <c r="AE73" s="64">
        <v>600</v>
      </c>
      <c r="AF73" s="36">
        <v>12</v>
      </c>
      <c r="AG73" s="62">
        <f>SUM(SMALL(AF73:AF84,{1,2,3,4,5,6}))/6</f>
        <v>7.5</v>
      </c>
      <c r="AK73" s="11"/>
      <c r="AL73" s="37"/>
      <c r="AM73" s="10"/>
      <c r="AT73" s="64"/>
      <c r="AU73" s="36">
        <v>22</v>
      </c>
      <c r="AV73" s="62">
        <f>SUM(SMALL(AU73:AU84,{1,2,3,4,5,6}))/6</f>
        <v>13.5</v>
      </c>
      <c r="BC73" s="64"/>
      <c r="BD73" s="36">
        <v>7</v>
      </c>
      <c r="BE73" s="62">
        <f>SUM(SMALL(BD73:BD84,{1,2,3,4,5,6}))/6</f>
        <v>11</v>
      </c>
    </row>
    <row r="74" spans="1:59" ht="12" customHeight="1" x14ac:dyDescent="0.25">
      <c r="A74" s="36">
        <v>0</v>
      </c>
      <c r="B74" s="36">
        <v>9</v>
      </c>
      <c r="C74" s="62">
        <v>7.5</v>
      </c>
      <c r="D74" s="36"/>
      <c r="E74" s="36">
        <v>9</v>
      </c>
      <c r="F74" s="62">
        <f>SUM(SMALL(E74:E85,{1,2,3,4,5,6}))/6</f>
        <v>8.6666666666666661</v>
      </c>
      <c r="G74" s="11"/>
      <c r="H74" s="11"/>
      <c r="I74" s="10"/>
      <c r="J74" s="36"/>
      <c r="K74" s="36">
        <v>12</v>
      </c>
      <c r="L74" s="62">
        <f>SUM(SMALL(K74:K85,{1,2,3,4,5,6}))/6</f>
        <v>7.7</v>
      </c>
      <c r="AE74" s="64"/>
      <c r="AF74" s="36">
        <v>8</v>
      </c>
      <c r="AG74" s="62">
        <f>SUM(SMALL(AF74:AF85,{1,2,3,4,5,6}))/6</f>
        <v>7.333333333333333</v>
      </c>
      <c r="AT74" s="64">
        <v>-3300</v>
      </c>
      <c r="AU74" s="36">
        <v>22</v>
      </c>
      <c r="AV74" s="62">
        <f>SUM(SMALL(AU74:AU85,{1,2,3,4,5,6}))/6</f>
        <v>12.833333333333334</v>
      </c>
      <c r="BC74" s="64"/>
      <c r="BD74" s="36">
        <v>13</v>
      </c>
      <c r="BE74" s="62">
        <f>SUM(SMALL(BD74:BD85,{1,2,3,4,5,6}))/6</f>
        <v>12</v>
      </c>
    </row>
    <row r="75" spans="1:59" ht="12" customHeight="1" x14ac:dyDescent="0.25">
      <c r="A75" s="36">
        <v>3300</v>
      </c>
      <c r="B75" s="36">
        <v>7</v>
      </c>
      <c r="C75" s="62">
        <v>7.5</v>
      </c>
      <c r="D75" s="36"/>
      <c r="E75" s="36">
        <v>13</v>
      </c>
      <c r="F75" s="62">
        <f>SUM(SMALL(E75:E86,{1,2,3,4,5,6}))/6</f>
        <v>8.8333333333333339</v>
      </c>
      <c r="G75" s="11"/>
      <c r="H75" s="11"/>
      <c r="I75" s="10"/>
      <c r="J75" s="36">
        <v>1800</v>
      </c>
      <c r="K75" s="36">
        <v>8</v>
      </c>
      <c r="L75" s="62">
        <f>SUM(SMALL(K75:K86,{1,2,3,4,5,6}))/6</f>
        <v>7.7</v>
      </c>
      <c r="AE75" s="64">
        <v>-1400</v>
      </c>
      <c r="AF75" s="36">
        <v>8</v>
      </c>
      <c r="AG75" s="62">
        <f>SUM(SMALL(AF75:AF86,{1,2,3,4,5,6}))/6</f>
        <v>7.166666666666667</v>
      </c>
      <c r="AT75" s="64"/>
      <c r="AU75" s="36">
        <v>15</v>
      </c>
      <c r="AV75" s="62">
        <f>SUM(SMALL(AU75:AU86,{1,2,3,4,5,6}))/6</f>
        <v>12.833333333333334</v>
      </c>
      <c r="BC75" s="64"/>
      <c r="BD75" s="36">
        <v>13</v>
      </c>
      <c r="BE75" s="62">
        <f>SUM(SMALL(BD75:BD86,{1,2,3,4,5,6}))/6</f>
        <v>12.166666666666666</v>
      </c>
    </row>
    <row r="76" spans="1:59" ht="12" customHeight="1" x14ac:dyDescent="0.25">
      <c r="A76" s="36"/>
      <c r="B76" s="36">
        <v>5</v>
      </c>
      <c r="C76" s="62">
        <v>7.833333333333333</v>
      </c>
      <c r="D76" s="36">
        <v>900</v>
      </c>
      <c r="E76" s="36">
        <v>10</v>
      </c>
      <c r="F76" s="62">
        <f>SUM(SMALL(E76:E87,{1,2,3,4,5,6}))/6</f>
        <v>8.8333333333333339</v>
      </c>
      <c r="G76" s="11"/>
      <c r="H76" s="11"/>
      <c r="I76" s="10"/>
      <c r="J76" s="36"/>
      <c r="K76" s="36">
        <v>15</v>
      </c>
      <c r="L76" s="62">
        <f>SUM(SMALL(K76:K87,{1,2,3,4,5,6}))/6</f>
        <v>8.3666666666666671</v>
      </c>
      <c r="AE76" s="64"/>
      <c r="AF76" s="36">
        <v>7</v>
      </c>
      <c r="AG76" s="62">
        <f>SUM(SMALL(AF76:AF87,{1,2,3,4,5,6}))/6</f>
        <v>5.666666666666667</v>
      </c>
      <c r="AT76" s="64"/>
      <c r="AU76" s="36">
        <v>20</v>
      </c>
      <c r="AV76" s="62">
        <f>SUM(SMALL(AU76:AU87,{1,2,3,4,5,6}))/6</f>
        <v>13</v>
      </c>
      <c r="BA76" s="13"/>
      <c r="BC76" s="64"/>
      <c r="BD76" s="36">
        <v>12</v>
      </c>
      <c r="BE76" s="62">
        <f>SUM(SMALL(BD76:BD87,{1,2,3,4,5,6}))/6</f>
        <v>12.5</v>
      </c>
    </row>
    <row r="77" spans="1:59" ht="12" customHeight="1" x14ac:dyDescent="0.3">
      <c r="A77" s="36"/>
      <c r="B77" s="36">
        <v>8</v>
      </c>
      <c r="C77" s="62">
        <v>8.1666666666666661</v>
      </c>
      <c r="D77" s="36">
        <v>1500</v>
      </c>
      <c r="E77" s="36">
        <v>11</v>
      </c>
      <c r="F77" s="62">
        <f>SUM(SMALL(E77:E88,{1,2,3,4,5,6}))/6</f>
        <v>8.5</v>
      </c>
      <c r="G77" s="11"/>
      <c r="H77" s="37"/>
      <c r="I77" s="10"/>
      <c r="J77" s="36">
        <v>2100</v>
      </c>
      <c r="K77" s="36">
        <v>10</v>
      </c>
      <c r="L77" s="62">
        <f>SUM(SMALL(K77:K88,{1,2,3,4,5,6}))/6</f>
        <v>7.5333333333333341</v>
      </c>
      <c r="AE77" s="64">
        <v>-3000</v>
      </c>
      <c r="AF77" s="36">
        <v>11</v>
      </c>
      <c r="AG77" s="62">
        <f>SUM(SMALL(AF77:AF88,{1,2,3,4,5,6}))/6</f>
        <v>5.833333333333333</v>
      </c>
      <c r="AT77" s="64"/>
      <c r="AU77" s="36">
        <v>22</v>
      </c>
      <c r="AV77" s="62">
        <f>SUM(SMALL(AU77:AU88,{1,2,3,4,5,6}))/6</f>
        <v>13</v>
      </c>
      <c r="BC77" s="64">
        <v>-2500</v>
      </c>
      <c r="BD77" s="36">
        <v>16</v>
      </c>
      <c r="BE77" s="62">
        <f>SUM(SMALL(BD77:BD88,{1,2,3,4,5,6}))/6</f>
        <v>12.666666666666666</v>
      </c>
    </row>
    <row r="78" spans="1:59" ht="12" customHeight="1" x14ac:dyDescent="0.3">
      <c r="A78" s="36"/>
      <c r="B78" s="38">
        <v>10</v>
      </c>
      <c r="C78" s="62">
        <v>7.666666666666667</v>
      </c>
      <c r="D78" s="36">
        <v>1500</v>
      </c>
      <c r="E78" s="36">
        <v>10</v>
      </c>
      <c r="F78" s="62">
        <v>8.5</v>
      </c>
      <c r="J78" s="61"/>
      <c r="K78" s="36">
        <v>13</v>
      </c>
      <c r="L78" s="62">
        <v>7.7</v>
      </c>
      <c r="AE78" s="64">
        <v>-1800</v>
      </c>
      <c r="AF78" s="36">
        <v>8</v>
      </c>
      <c r="AG78" s="62">
        <f>SUM(SMALL(AF78:AF89,{1,2,3,4,5,6}))/6</f>
        <v>5.833333333333333</v>
      </c>
      <c r="AT78" s="64">
        <v>-2500</v>
      </c>
      <c r="AU78" s="36">
        <v>16</v>
      </c>
      <c r="AV78" s="62">
        <f>SUM(SMALL(AU78:AU89,{1,2,3,4,5,6}))/6</f>
        <v>12.9</v>
      </c>
      <c r="BC78" s="64">
        <v>-4000</v>
      </c>
      <c r="BD78" s="36">
        <v>11</v>
      </c>
      <c r="BE78" s="62">
        <f>SUM(SMALL(BD78:BD89,{1,2,3,4,5,6}))/6</f>
        <v>12.666666666666666</v>
      </c>
    </row>
    <row r="79" spans="1:59" ht="12" customHeight="1" x14ac:dyDescent="0.25">
      <c r="A79" s="36"/>
      <c r="B79" s="36"/>
      <c r="C79" s="62"/>
      <c r="D79" s="36"/>
      <c r="E79" s="36">
        <v>14</v>
      </c>
      <c r="F79" s="62">
        <v>8.5</v>
      </c>
      <c r="J79" s="61"/>
      <c r="K79" s="36">
        <v>13</v>
      </c>
      <c r="L79" s="62">
        <v>7.7</v>
      </c>
      <c r="AE79" s="64">
        <v>-1000</v>
      </c>
      <c r="AF79" s="36">
        <v>15</v>
      </c>
      <c r="AG79" s="62">
        <f>SUM(SMALL(AF79:AF90,{1,2,3,4,5,6}))/6</f>
        <v>5.833333333333333</v>
      </c>
      <c r="AT79" s="64">
        <v>4000</v>
      </c>
      <c r="AU79" s="36">
        <v>16</v>
      </c>
      <c r="AV79" s="62">
        <f>SUM(SMALL(AU79:AU90,{1,2,3,4,5,6}))/6</f>
        <v>12.9</v>
      </c>
      <c r="BC79" s="64"/>
      <c r="BD79" s="36">
        <v>13</v>
      </c>
      <c r="BE79" s="62">
        <f>SUM(SMALL(BD79:BD90,{1,2,3,4,5,6}))/6</f>
        <v>12.833333333333334</v>
      </c>
    </row>
    <row r="80" spans="1:59" ht="12" customHeight="1" x14ac:dyDescent="0.25">
      <c r="A80" s="11"/>
      <c r="B80" s="11"/>
      <c r="C80" s="10"/>
      <c r="D80" s="61"/>
      <c r="E80" s="36">
        <v>10</v>
      </c>
      <c r="F80" s="62">
        <v>8.5</v>
      </c>
      <c r="J80" s="61"/>
      <c r="K80" s="36">
        <v>5</v>
      </c>
      <c r="L80" s="62">
        <v>6.666666666666667</v>
      </c>
      <c r="AE80" s="64"/>
      <c r="AF80" s="36">
        <f>13*0.8</f>
        <v>10.4</v>
      </c>
      <c r="AG80" s="62">
        <f>SUM(SMALL(AF80:AF91,{1,2,3,4,5,6}))/6</f>
        <v>5.833333333333333</v>
      </c>
      <c r="AR80" s="13"/>
      <c r="AT80" s="61"/>
      <c r="AU80" s="36">
        <v>8</v>
      </c>
      <c r="AV80" s="62">
        <f>SUM(SMALL(AU80:AU91,{1,2,3,4,5,6}))/6</f>
        <v>12.566666666666668</v>
      </c>
      <c r="BC80" s="64">
        <v>-4000</v>
      </c>
      <c r="BD80" s="36">
        <v>15</v>
      </c>
      <c r="BE80" s="62">
        <f>SUM(SMALL(BD80:BD91,{1,2,3,4,5,6}))/6</f>
        <v>12.666666666666666</v>
      </c>
    </row>
    <row r="81" spans="1:57" ht="12" customHeight="1" x14ac:dyDescent="0.25">
      <c r="A81" s="11"/>
      <c r="B81" s="11"/>
      <c r="C81" s="10"/>
      <c r="D81" s="36">
        <v>-300</v>
      </c>
      <c r="E81" s="36">
        <f>13*1.2</f>
        <v>15.6</v>
      </c>
      <c r="F81" s="62">
        <v>8.5</v>
      </c>
      <c r="J81" s="61"/>
      <c r="K81" s="36">
        <f>5</f>
        <v>5</v>
      </c>
      <c r="L81" s="62">
        <v>6.666666666666667</v>
      </c>
      <c r="AE81" s="64"/>
      <c r="AF81" s="36">
        <v>6</v>
      </c>
      <c r="AG81" s="62">
        <f>SUM(SMALL(AF81:AF92,{1,2,3,4,5,6}))/6</f>
        <v>5.166666666666667</v>
      </c>
      <c r="AT81" s="61"/>
      <c r="AU81" s="36">
        <v>12</v>
      </c>
      <c r="AV81" s="62">
        <f>SUM(SMALL(AU81:AU92,{1,2,3,4,5,6}))/6</f>
        <v>13.4</v>
      </c>
      <c r="BC81" s="64">
        <v>4000</v>
      </c>
      <c r="BD81" s="36">
        <v>19</v>
      </c>
      <c r="BE81" s="62">
        <f>SUM(SMALL(BD81:BD92,{1,2,3,4,5,6}))/6</f>
        <v>12.566666666666668</v>
      </c>
    </row>
    <row r="82" spans="1:57" ht="12" customHeight="1" x14ac:dyDescent="0.25">
      <c r="D82" s="36">
        <v>1800</v>
      </c>
      <c r="E82" s="36">
        <v>12</v>
      </c>
      <c r="F82" s="62">
        <v>8.5</v>
      </c>
      <c r="J82" s="36">
        <v>3000</v>
      </c>
      <c r="K82" s="36">
        <v>7</v>
      </c>
      <c r="L82" s="62">
        <v>7.5</v>
      </c>
      <c r="AE82" s="64"/>
      <c r="AF82" s="36">
        <v>9</v>
      </c>
      <c r="AG82" s="62">
        <f>SUM(SMALL(AF82:AF93,{1,2,3,4,5,6}))/6</f>
        <v>5.5</v>
      </c>
      <c r="AT82" s="61"/>
      <c r="AU82" s="36">
        <v>17</v>
      </c>
      <c r="AV82" s="62">
        <f>SUM(SMALL(AU82:AU93,{1,2,3,4,5,6}))/6</f>
        <v>13.9</v>
      </c>
      <c r="BC82" s="64"/>
      <c r="BD82" s="36">
        <v>10</v>
      </c>
      <c r="BE82" s="62">
        <f>SUM(SMALL(BD82:BD93,{1,2,3,4,5,6}))/6</f>
        <v>12.566666666666668</v>
      </c>
    </row>
    <row r="83" spans="1:57" ht="12" customHeight="1" x14ac:dyDescent="0.25">
      <c r="D83" s="36">
        <v>0</v>
      </c>
      <c r="E83" s="36">
        <v>8</v>
      </c>
      <c r="F83" s="62">
        <v>8.5</v>
      </c>
      <c r="J83" s="36">
        <v>-900</v>
      </c>
      <c r="K83" s="36">
        <f>14*0.8</f>
        <v>11.200000000000001</v>
      </c>
      <c r="L83" s="62">
        <v>7.833333333333333</v>
      </c>
      <c r="AE83" s="64"/>
      <c r="AF83" s="36">
        <v>8</v>
      </c>
      <c r="AG83" s="62">
        <f>SUM(SMALL(AF83:AF94,{1,2,3,4,5,6}))/6</f>
        <v>5.166666666666667</v>
      </c>
      <c r="AT83" s="61"/>
      <c r="AU83" s="36">
        <v>14</v>
      </c>
      <c r="AV83" s="62">
        <f>SUM(SMALL(AU83:AU94,{1,2,3,4,5,6}))/6</f>
        <v>13.666666666666666</v>
      </c>
      <c r="BC83" s="64"/>
      <c r="BD83" s="36">
        <v>17</v>
      </c>
      <c r="BE83" s="62">
        <f>SUM(SMALL(BD83:BD94,{1,2,3,4,5,6}))/6</f>
        <v>13.300000000000002</v>
      </c>
    </row>
    <row r="84" spans="1:57" ht="12" customHeight="1" x14ac:dyDescent="0.25">
      <c r="D84" s="36"/>
      <c r="E84" s="36">
        <v>7</v>
      </c>
      <c r="F84" s="62">
        <v>8.8333333333333339</v>
      </c>
      <c r="J84" s="36"/>
      <c r="K84" s="36">
        <v>12</v>
      </c>
      <c r="L84" s="62">
        <v>7</v>
      </c>
      <c r="AE84" s="64"/>
      <c r="AF84" s="36">
        <v>13</v>
      </c>
      <c r="AG84" s="62">
        <f>SUM(SMALL(AF84:AF95,{1,2,3,4,5,6}))/6</f>
        <v>5.166666666666667</v>
      </c>
      <c r="AT84" s="61"/>
      <c r="AU84" s="36">
        <v>18</v>
      </c>
      <c r="AV84" s="62">
        <f>SUM(SMALL(AU84:AU95,{1,2,3,4,5,6}))/6</f>
        <v>13.9</v>
      </c>
      <c r="BC84" s="64"/>
      <c r="BD84" s="36">
        <v>14</v>
      </c>
      <c r="BE84" s="62">
        <f>SUM(SMALL(BD84:BD95,{1,2,3,4,5,6}))/6</f>
        <v>13.166666666666666</v>
      </c>
    </row>
    <row r="85" spans="1:57" ht="12" customHeight="1" x14ac:dyDescent="0.25">
      <c r="D85" s="36"/>
      <c r="E85" s="36">
        <v>8</v>
      </c>
      <c r="F85" s="62">
        <v>9.5</v>
      </c>
      <c r="J85" s="36"/>
      <c r="K85" s="36">
        <v>14</v>
      </c>
      <c r="L85" s="62">
        <v>6.666666666666667</v>
      </c>
      <c r="AE85" s="64">
        <v>2500</v>
      </c>
      <c r="AF85" s="36">
        <v>7</v>
      </c>
      <c r="AG85" s="62">
        <f>SUM(SMALL(AF85:AF96,{1,2,3,4,5,6}))/6</f>
        <v>5.166666666666667</v>
      </c>
      <c r="AT85" s="61"/>
      <c r="AU85" s="36">
        <v>12</v>
      </c>
      <c r="AV85" s="62">
        <f>SUM(SMALL(AU85:AU96,{1,2,3,4,5,6}))/6</f>
        <v>13.666666666666666</v>
      </c>
      <c r="BC85" s="64"/>
      <c r="BD85" s="36">
        <v>16</v>
      </c>
      <c r="BE85" s="62">
        <f>SUM(SMALL(BD85:BD96,{1,2,3,4,5,6}))/6</f>
        <v>13.233333333333334</v>
      </c>
    </row>
    <row r="86" spans="1:57" ht="12" customHeight="1" x14ac:dyDescent="0.25">
      <c r="D86" s="36">
        <v>-2200</v>
      </c>
      <c r="E86" s="36">
        <v>10</v>
      </c>
      <c r="F86" s="62">
        <v>10</v>
      </c>
      <c r="J86" s="36">
        <v>0</v>
      </c>
      <c r="K86" s="36">
        <v>13</v>
      </c>
      <c r="L86" s="62">
        <v>6.5</v>
      </c>
      <c r="AE86" s="64"/>
      <c r="AF86" s="36">
        <v>7</v>
      </c>
      <c r="AG86" s="62">
        <f>SUM(SMALL(AF86:AF97,{1,2,3,4,5,6}))/6</f>
        <v>5.333333333333333</v>
      </c>
      <c r="AT86" s="61"/>
      <c r="AU86" s="36">
        <v>20</v>
      </c>
      <c r="AV86" s="62">
        <v>14.233333333333334</v>
      </c>
      <c r="BC86" s="61"/>
      <c r="BD86" s="36">
        <v>18</v>
      </c>
      <c r="BE86" s="62">
        <f>SUM(SMALL(BD86:BD97,{1,2,3,4,5,6}))/6</f>
        <v>13.233333333333334</v>
      </c>
    </row>
    <row r="87" spans="1:57" ht="12" customHeight="1" x14ac:dyDescent="0.25">
      <c r="D87" s="36"/>
      <c r="E87" s="36">
        <v>12</v>
      </c>
      <c r="F87" s="62">
        <v>9.6666666666666661</v>
      </c>
      <c r="J87" s="36">
        <v>-3300</v>
      </c>
      <c r="K87" s="36">
        <v>14</v>
      </c>
      <c r="L87" s="62">
        <v>6.5</v>
      </c>
      <c r="AE87" s="64">
        <v>4000</v>
      </c>
      <c r="AF87" s="63">
        <v>-1</v>
      </c>
      <c r="AG87" s="62">
        <f>SUM(SMALL(AF87:AF98,{1,2,3,4,5,6}))/6</f>
        <v>5.166666666666667</v>
      </c>
      <c r="AT87" s="64">
        <v>-2100</v>
      </c>
      <c r="AU87" s="36">
        <f>18*1.125</f>
        <v>20.25</v>
      </c>
      <c r="AV87" s="62">
        <v>14.233333333333334</v>
      </c>
      <c r="BC87" s="61"/>
      <c r="BD87" s="36">
        <v>17</v>
      </c>
      <c r="BE87" s="62">
        <f>SUM(SMALL(BD87:BD98,{1,2,3,4,5,6}))/6</f>
        <v>12.700000000000001</v>
      </c>
    </row>
    <row r="88" spans="1:57" ht="12" customHeight="1" x14ac:dyDescent="0.3">
      <c r="D88" s="36"/>
      <c r="E88" s="38">
        <v>8</v>
      </c>
      <c r="F88" s="62">
        <v>9.6666666666666661</v>
      </c>
      <c r="J88" s="36"/>
      <c r="K88" s="38">
        <v>7</v>
      </c>
      <c r="L88" s="62">
        <v>6.5</v>
      </c>
      <c r="AE88" s="61"/>
      <c r="AF88" s="36">
        <v>8</v>
      </c>
      <c r="AG88" s="62">
        <f>SUM(SMALL(AF88:AF99,{1,2,3,4,5,6}))/6</f>
        <v>5.5</v>
      </c>
      <c r="AT88" s="36"/>
      <c r="AU88" s="36">
        <f>19*1.1</f>
        <v>20.900000000000002</v>
      </c>
      <c r="AV88" s="62">
        <v>14.233333333333334</v>
      </c>
      <c r="BC88" s="61">
        <v>2100</v>
      </c>
      <c r="BD88" s="36">
        <v>13</v>
      </c>
      <c r="BE88" s="62">
        <f>SUM(SMALL(BD88:BD99,{1,2,3,4,5,6}))/6</f>
        <v>12.700000000000001</v>
      </c>
    </row>
    <row r="89" spans="1:57" ht="12" customHeight="1" x14ac:dyDescent="0.25">
      <c r="J89" s="11"/>
      <c r="K89" s="11"/>
      <c r="L89" s="10"/>
      <c r="AE89" s="61"/>
      <c r="AF89" s="36">
        <v>8</v>
      </c>
      <c r="AG89" s="62">
        <f>SUM(SMALL(AF89:AF100,{1,2,3,4,5,6}))/6</f>
        <v>5.5</v>
      </c>
      <c r="AT89" s="36"/>
      <c r="AU89" s="36">
        <f>14*1.1</f>
        <v>15.400000000000002</v>
      </c>
      <c r="AV89" s="62">
        <v>14.166666666666666</v>
      </c>
      <c r="BC89" s="61"/>
      <c r="BD89" s="36">
        <v>16</v>
      </c>
      <c r="BE89" s="62">
        <f>SUM(SMALL(BD89:BD100,{1,2,3,4,5,6}))/6</f>
        <v>12.033333333333333</v>
      </c>
    </row>
    <row r="90" spans="1:57" ht="12" customHeight="1" x14ac:dyDescent="0.25">
      <c r="J90" s="11"/>
      <c r="K90" s="11"/>
      <c r="L90" s="10"/>
      <c r="AE90" s="61"/>
      <c r="AF90" s="36">
        <v>12</v>
      </c>
      <c r="AG90" s="62">
        <f>SUM(SMALL(AF90:AF101,{1,2,3,4,5,6}))/6</f>
        <v>4.666666666666667</v>
      </c>
      <c r="AT90" s="36"/>
      <c r="AU90" s="36">
        <f>27*0.8</f>
        <v>21.6</v>
      </c>
      <c r="AV90" s="62">
        <v>14.166666666666666</v>
      </c>
      <c r="BC90" s="61"/>
      <c r="BD90" s="36">
        <v>12</v>
      </c>
      <c r="BE90" s="62">
        <f>SUM(SMALL(BD90:BD101,{1,2,3,4,5,6}))/6</f>
        <v>11.133333333333335</v>
      </c>
    </row>
    <row r="91" spans="1:57" ht="12" customHeight="1" x14ac:dyDescent="0.25">
      <c r="J91" s="11"/>
      <c r="K91" s="11"/>
      <c r="L91" s="10"/>
      <c r="AE91" s="61"/>
      <c r="AF91" s="36">
        <v>13</v>
      </c>
      <c r="AG91" s="62">
        <f>SUM(SMALL(AF91:AF102,{1,2,3,4,5,6}))/6</f>
        <v>4.666666666666667</v>
      </c>
      <c r="AT91" s="36"/>
      <c r="AU91" s="36">
        <v>14</v>
      </c>
      <c r="AV91" s="62">
        <v>13.833333333333334</v>
      </c>
      <c r="BC91" s="36"/>
      <c r="BD91" s="36">
        <v>12</v>
      </c>
      <c r="BE91" s="62">
        <f>SUM(SMALL(BD91:BD102,{1,2,3,4,5,6}))/6</f>
        <v>11.533333333333333</v>
      </c>
    </row>
    <row r="92" spans="1:57" ht="12" customHeight="1" x14ac:dyDescent="0.25">
      <c r="J92" s="11"/>
      <c r="K92" s="11"/>
      <c r="L92" s="10"/>
      <c r="AE92" s="61"/>
      <c r="AF92" s="36">
        <v>4</v>
      </c>
      <c r="AG92" s="62">
        <f>SUM(SMALL(AF92:AF103,{1,2,3,4,5,6}))/6</f>
        <v>4.666666666666667</v>
      </c>
      <c r="AT92" s="36"/>
      <c r="AU92" s="36">
        <v>13</v>
      </c>
      <c r="AV92" s="62">
        <v>14</v>
      </c>
      <c r="BC92" s="61"/>
      <c r="BD92" s="36">
        <f>12*1.2</f>
        <v>14.399999999999999</v>
      </c>
      <c r="BE92" s="62">
        <f>SUM(SMALL(BD92:BD103,{1,2,3,4,5,6}))/6</f>
        <v>11.533333333333333</v>
      </c>
    </row>
    <row r="93" spans="1:57" ht="12" customHeight="1" x14ac:dyDescent="0.25">
      <c r="AE93" s="61"/>
      <c r="AF93" s="36">
        <v>16</v>
      </c>
      <c r="AG93" s="62">
        <f>SUM(SMALL(AF93:AF104,{1,2,3,4,5,6}))/6</f>
        <v>5.333333333333333</v>
      </c>
      <c r="AT93" s="36"/>
      <c r="AU93" s="36">
        <v>15</v>
      </c>
      <c r="AV93" s="62">
        <v>14.5</v>
      </c>
      <c r="BC93" s="61"/>
      <c r="BD93" s="36">
        <f>20*0.8</f>
        <v>16</v>
      </c>
      <c r="BE93" s="62">
        <f>SUM(SMALL(BD93:BD104,{1,2,3,4,5,6}))/6</f>
        <v>11.300000000000002</v>
      </c>
    </row>
    <row r="94" spans="1:57" ht="12" customHeight="1" x14ac:dyDescent="0.25">
      <c r="AE94" s="61"/>
      <c r="AF94" s="36">
        <v>6</v>
      </c>
      <c r="AG94" s="62">
        <f>SUM(SMALL(AF94:AF105,{1,2,3,4,5,6}))/6</f>
        <v>4.666666666666667</v>
      </c>
      <c r="AT94" s="36">
        <v>-3000</v>
      </c>
      <c r="AU94" s="36">
        <v>14</v>
      </c>
      <c r="AV94" s="62">
        <v>14.666666666666666</v>
      </c>
      <c r="BC94" s="36">
        <v>3000</v>
      </c>
      <c r="BD94" s="36">
        <f>18*0.8</f>
        <v>14.4</v>
      </c>
      <c r="BE94" s="62">
        <f>SUM(SMALL(BD94:BD105,{1,2,3,4,5,6}))/6</f>
        <v>11.300000000000002</v>
      </c>
    </row>
    <row r="95" spans="1:57" ht="12" customHeight="1" x14ac:dyDescent="0.25">
      <c r="AE95" s="61"/>
      <c r="AF95" s="36">
        <f>14*0.8</f>
        <v>11.200000000000001</v>
      </c>
      <c r="AG95" s="62">
        <f>SUM(SMALL(AF95:AF106,{1,2,3,4,5,6}))/6</f>
        <v>4.333333333333333</v>
      </c>
      <c r="AT95" s="36">
        <v>-1000</v>
      </c>
      <c r="AU95" s="36">
        <v>19</v>
      </c>
      <c r="AV95" s="62">
        <v>15</v>
      </c>
      <c r="BC95" s="36"/>
      <c r="BD95" s="36">
        <f>17*0.8</f>
        <v>13.600000000000001</v>
      </c>
      <c r="BE95" s="62">
        <v>10.866666666666667</v>
      </c>
    </row>
    <row r="96" spans="1:57" ht="12" customHeight="1" x14ac:dyDescent="0.3">
      <c r="AE96" s="61"/>
      <c r="AF96" s="36">
        <v>8</v>
      </c>
      <c r="AG96" s="62">
        <f>SUM(SMALL(AF96:AF107,{1,2,3,4,5,6}))/6</f>
        <v>4.333333333333333</v>
      </c>
      <c r="AT96" s="36"/>
      <c r="AU96" s="38">
        <v>14</v>
      </c>
      <c r="AV96" s="62">
        <v>15</v>
      </c>
      <c r="BC96" s="36">
        <v>-3300</v>
      </c>
      <c r="BD96" s="36">
        <f>20*0.8</f>
        <v>16</v>
      </c>
      <c r="BE96" s="62">
        <v>10.866666666666667</v>
      </c>
    </row>
    <row r="97" spans="31:57" ht="12" customHeight="1" x14ac:dyDescent="0.25">
      <c r="AE97" s="61"/>
      <c r="AF97" s="36">
        <f>11*0.8</f>
        <v>8.8000000000000007</v>
      </c>
      <c r="AG97" s="62">
        <f>SUM(SMALL(AF97:AF108,{1,2,3,4,5,6}))/6</f>
        <v>4</v>
      </c>
      <c r="AT97" s="11"/>
      <c r="AU97" s="11"/>
      <c r="AV97" s="10"/>
      <c r="BC97" s="36">
        <v>-3000</v>
      </c>
      <c r="BD97" s="36">
        <f>21*0.8</f>
        <v>16.8</v>
      </c>
      <c r="BE97" s="62">
        <v>10.866666666666667</v>
      </c>
    </row>
    <row r="98" spans="31:57" ht="12" customHeight="1" x14ac:dyDescent="0.25">
      <c r="AE98" s="61"/>
      <c r="AF98" s="36">
        <v>6</v>
      </c>
      <c r="AG98" s="62">
        <f>SUM(SMALL(AF98:AF109,{1,2,3,4,5,6}))/6</f>
        <v>4</v>
      </c>
      <c r="AT98" s="11"/>
      <c r="AU98" s="11"/>
      <c r="AV98" s="10"/>
      <c r="BC98" s="36"/>
      <c r="BD98" s="36">
        <f>14*0.8</f>
        <v>11.200000000000001</v>
      </c>
      <c r="BE98" s="62">
        <v>10.200000000000001</v>
      </c>
    </row>
    <row r="99" spans="31:57" ht="12" customHeight="1" x14ac:dyDescent="0.25">
      <c r="AE99" s="61"/>
      <c r="AF99" s="36">
        <v>1</v>
      </c>
      <c r="AG99" s="62">
        <f>SUM(SMALL(AF99:AF110,{1,2,3,4,5,6}))/6</f>
        <v>3.8333333333333335</v>
      </c>
      <c r="AT99" s="11"/>
      <c r="AU99" s="11"/>
      <c r="AV99" s="10"/>
      <c r="BC99" s="36">
        <v>900</v>
      </c>
      <c r="BD99" s="36">
        <f>19*0.8</f>
        <v>15.200000000000001</v>
      </c>
      <c r="BE99" s="62">
        <v>9.8333333333333339</v>
      </c>
    </row>
    <row r="100" spans="31:57" ht="12" customHeight="1" x14ac:dyDescent="0.25">
      <c r="AE100" s="61"/>
      <c r="AF100" s="36">
        <v>8</v>
      </c>
      <c r="AG100" s="62" cm="1">
        <f t="array" ref="AG100">SUM(SMALL(AF100:AF111,{1,2,3,4,5,6}))/6</f>
        <v>5</v>
      </c>
      <c r="AT100" s="11"/>
      <c r="AU100" s="11"/>
      <c r="AV100" s="10"/>
      <c r="BC100" s="36"/>
      <c r="BD100" s="36">
        <v>9</v>
      </c>
      <c r="BE100" s="62">
        <v>9.8333333333333339</v>
      </c>
    </row>
    <row r="101" spans="31:57" ht="12" customHeight="1" x14ac:dyDescent="0.25">
      <c r="AE101" s="61"/>
      <c r="AF101" s="36">
        <v>3</v>
      </c>
      <c r="AG101" s="62">
        <f>SUM(SMALL(AF101:AF113,{1,2,3,4,5,6}))/6</f>
        <v>4.833333333333333</v>
      </c>
      <c r="BC101" s="36"/>
      <c r="BD101" s="36">
        <v>9</v>
      </c>
      <c r="BE101" s="62">
        <v>10.5</v>
      </c>
    </row>
    <row r="102" spans="31:57" ht="12" customHeight="1" x14ac:dyDescent="0.25">
      <c r="AE102" s="61"/>
      <c r="AF102" s="36">
        <v>9</v>
      </c>
      <c r="AG102" s="62">
        <v>5.666666666666667</v>
      </c>
      <c r="BC102" s="36">
        <v>3300</v>
      </c>
      <c r="BD102" s="36">
        <v>15</v>
      </c>
      <c r="BE102" s="62">
        <v>11</v>
      </c>
    </row>
    <row r="103" spans="31:57" ht="12" customHeight="1" x14ac:dyDescent="0.25">
      <c r="AE103" s="64">
        <v>-2100</v>
      </c>
      <c r="AF103" s="36">
        <f>0.5*18</f>
        <v>9</v>
      </c>
      <c r="AG103" s="62">
        <v>5.666666666666667</v>
      </c>
      <c r="BC103" s="36"/>
      <c r="BD103" s="36">
        <v>12</v>
      </c>
      <c r="BE103" s="62">
        <v>11</v>
      </c>
    </row>
    <row r="104" spans="31:57" ht="12" customHeight="1" x14ac:dyDescent="0.25">
      <c r="AE104" s="36">
        <v>3000</v>
      </c>
      <c r="AF104" s="36">
        <f>13*0.8</f>
        <v>10.4</v>
      </c>
      <c r="AG104" s="62">
        <v>5.5</v>
      </c>
      <c r="BC104" s="36">
        <v>1000</v>
      </c>
      <c r="BD104" s="36">
        <v>13</v>
      </c>
      <c r="BE104" s="62">
        <v>11.166666666666666</v>
      </c>
    </row>
    <row r="105" spans="31:57" ht="12" customHeight="1" x14ac:dyDescent="0.3">
      <c r="AE105" s="36">
        <v>1200</v>
      </c>
      <c r="AF105" s="36">
        <v>4</v>
      </c>
      <c r="AG105" s="62">
        <v>5.5</v>
      </c>
      <c r="BC105" s="36"/>
      <c r="BD105" s="38">
        <v>17</v>
      </c>
      <c r="BE105" s="62">
        <v>11.166666666666666</v>
      </c>
    </row>
    <row r="106" spans="31:57" ht="12" customHeight="1" x14ac:dyDescent="0.3">
      <c r="AE106" s="36"/>
      <c r="AF106" s="36">
        <v>4</v>
      </c>
      <c r="AG106" s="62">
        <v>6</v>
      </c>
      <c r="BC106" s="36"/>
      <c r="BD106" s="38"/>
      <c r="BE106" s="62"/>
    </row>
    <row r="107" spans="31:57" ht="12" customHeight="1" x14ac:dyDescent="0.25">
      <c r="AE107" s="36"/>
      <c r="AF107" s="36">
        <v>9</v>
      </c>
      <c r="AG107" s="62">
        <v>6.666666666666667</v>
      </c>
      <c r="BC107" s="11"/>
      <c r="BD107" s="36"/>
      <c r="BE107" s="10"/>
    </row>
    <row r="108" spans="31:57" ht="12" customHeight="1" x14ac:dyDescent="0.25">
      <c r="AE108" s="36"/>
      <c r="AF108" s="36">
        <v>6</v>
      </c>
      <c r="AG108" s="62">
        <v>6.333333333333333</v>
      </c>
      <c r="BC108" s="11"/>
      <c r="BD108" s="36"/>
      <c r="BE108" s="10"/>
    </row>
    <row r="109" spans="31:57" ht="12" customHeight="1" x14ac:dyDescent="0.25">
      <c r="AE109" s="36"/>
      <c r="AF109" s="36">
        <v>8</v>
      </c>
      <c r="AG109" s="62">
        <v>6.666666666666667</v>
      </c>
      <c r="BC109" s="11"/>
      <c r="BD109" s="36"/>
      <c r="BE109" s="10"/>
    </row>
    <row r="110" spans="31:57" ht="12" customHeight="1" x14ac:dyDescent="0.3">
      <c r="AE110" s="36"/>
      <c r="AF110" s="36">
        <v>5</v>
      </c>
      <c r="AG110" s="62">
        <v>5.5</v>
      </c>
      <c r="BC110" s="11"/>
      <c r="BD110" s="38"/>
      <c r="BE110" s="10"/>
    </row>
    <row r="111" spans="31:57" ht="12" customHeight="1" x14ac:dyDescent="0.25">
      <c r="AE111" s="36"/>
      <c r="AF111" s="36">
        <v>9</v>
      </c>
      <c r="AG111" s="62">
        <v>6.1333333333333329</v>
      </c>
    </row>
    <row r="112" spans="31:57" ht="12" customHeight="1" x14ac:dyDescent="0.3">
      <c r="AE112" s="36"/>
      <c r="AF112" s="38">
        <v>7</v>
      </c>
      <c r="AG112" s="62">
        <v>5.666666666666667</v>
      </c>
    </row>
    <row r="113" spans="31:33" ht="12" customHeight="1" x14ac:dyDescent="0.3">
      <c r="AE113" s="36"/>
      <c r="AF113" s="38"/>
      <c r="AG113" s="62"/>
    </row>
    <row r="114" spans="31:33" ht="12" customHeight="1" x14ac:dyDescent="0.25">
      <c r="AE114" s="11"/>
      <c r="AF114" s="11"/>
      <c r="AG114" s="10"/>
    </row>
  </sheetData>
  <sortState xmlns:xlrd2="http://schemas.microsoft.com/office/spreadsheetml/2017/richdata2" ref="T49:T60">
    <sortCondition ref="T49:T60"/>
  </sortState>
  <mergeCells count="20">
    <mergeCell ref="A1:C1"/>
    <mergeCell ref="D1:F1"/>
    <mergeCell ref="G1:I1"/>
    <mergeCell ref="J1:L1"/>
    <mergeCell ref="S1:U1"/>
    <mergeCell ref="M1:O1"/>
    <mergeCell ref="P1:R1"/>
    <mergeCell ref="V1:X1"/>
    <mergeCell ref="AE1:AG1"/>
    <mergeCell ref="AB1:AD1"/>
    <mergeCell ref="AN1:AP1"/>
    <mergeCell ref="BF1:BH1"/>
    <mergeCell ref="BC1:BE1"/>
    <mergeCell ref="AK1:AM1"/>
    <mergeCell ref="Y1:AA1"/>
    <mergeCell ref="AH1:AJ1"/>
    <mergeCell ref="AQ1:AS1"/>
    <mergeCell ref="AT1:AV1"/>
    <mergeCell ref="AZ1:BB1"/>
    <mergeCell ref="AW1:AY1"/>
  </mergeCells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Stroking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cp:lastPrinted>2024-03-25T06:31:39Z</cp:lastPrinted>
  <dcterms:created xsi:type="dcterms:W3CDTF">2010-06-07T05:21:49Z</dcterms:created>
  <dcterms:modified xsi:type="dcterms:W3CDTF">2026-07-20T10:40:33Z</dcterms:modified>
</cp:coreProperties>
</file>